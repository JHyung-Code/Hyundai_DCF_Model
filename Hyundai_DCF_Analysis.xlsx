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ke.l/Desktop/python-test/Analysis/"/>
    </mc:Choice>
  </mc:AlternateContent>
  <xr:revisionPtr revIDLastSave="0" documentId="8_{8AE9D5A6-9C1E-9C49-A29F-D8EBFC5EBF88}" xr6:coauthVersionLast="47" xr6:coauthVersionMax="47" xr10:uidLastSave="{00000000-0000-0000-0000-000000000000}"/>
  <bookViews>
    <workbookView xWindow="0" yWindow="660" windowWidth="30240" windowHeight="18980" activeTab="1" xr2:uid="{A9CA6A45-20FF-4FE2-9FEA-E3F235B9E746}"/>
  </bookViews>
  <sheets>
    <sheet name="Data" sheetId="1" r:id="rId1"/>
    <sheet name="DCF Modelling" sheetId="9" r:id="rId2"/>
    <sheet name="WACC" sheetId="7" r:id="rId3"/>
    <sheet name="Share Prices" sheetId="3" r:id="rId4"/>
    <sheet name="Monte Carlo Simulation" sheetId="10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9" i="9" l="1"/>
  <c r="D7" i="9"/>
  <c r="D8" i="9"/>
  <c r="D9" i="9"/>
  <c r="D84" i="9"/>
  <c r="D62" i="9"/>
  <c r="D65" i="9"/>
  <c r="D71" i="9"/>
  <c r="D86" i="9" s="1"/>
  <c r="D75" i="9"/>
  <c r="D78" i="9"/>
  <c r="D79" i="9" s="1"/>
  <c r="D90" i="9"/>
  <c r="I29" i="9"/>
  <c r="H29" i="9"/>
  <c r="G29" i="9"/>
  <c r="J29" i="9" s="1"/>
  <c r="F29" i="9"/>
  <c r="E29" i="9"/>
  <c r="C110" i="9"/>
  <c r="C112" i="9"/>
  <c r="C99" i="9"/>
  <c r="B101" i="9"/>
  <c r="B99" i="9"/>
  <c r="C31" i="7"/>
  <c r="C27" i="7"/>
  <c r="B112" i="9"/>
  <c r="H9" i="7"/>
  <c r="D9" i="7"/>
  <c r="E9" i="7"/>
  <c r="F9" i="7"/>
  <c r="G9" i="7"/>
  <c r="C9" i="7"/>
  <c r="J57" i="9"/>
  <c r="K57" i="9" s="1"/>
  <c r="L57" i="9" s="1"/>
  <c r="I78" i="9"/>
  <c r="I79" i="9" s="1"/>
  <c r="F19" i="9"/>
  <c r="G19" i="9"/>
  <c r="H19" i="9"/>
  <c r="I19" i="9"/>
  <c r="E19" i="9"/>
  <c r="E12" i="9"/>
  <c r="E7" i="9"/>
  <c r="F7" i="9"/>
  <c r="G7" i="9"/>
  <c r="H7" i="9"/>
  <c r="I7" i="9"/>
  <c r="E8" i="9"/>
  <c r="F8" i="9"/>
  <c r="G8" i="9"/>
  <c r="H8" i="9"/>
  <c r="I8" i="9"/>
  <c r="E9" i="9"/>
  <c r="F9" i="9"/>
  <c r="G9" i="9"/>
  <c r="H9" i="9"/>
  <c r="I9" i="9"/>
  <c r="C35" i="7"/>
  <c r="J18" i="7"/>
  <c r="J39" i="9"/>
  <c r="K39" i="9" s="1"/>
  <c r="L39" i="9" s="1"/>
  <c r="I62" i="9"/>
  <c r="H62" i="9"/>
  <c r="H78" i="9"/>
  <c r="H79" i="9" s="1"/>
  <c r="G78" i="9"/>
  <c r="G79" i="9" s="1"/>
  <c r="F78" i="9"/>
  <c r="F79" i="9" s="1"/>
  <c r="E78" i="9"/>
  <c r="E79" i="9" s="1"/>
  <c r="E71" i="9"/>
  <c r="E86" i="9" s="1"/>
  <c r="F71" i="9"/>
  <c r="F86" i="9" s="1"/>
  <c r="G71" i="9"/>
  <c r="G86" i="9" s="1"/>
  <c r="H71" i="9"/>
  <c r="H86" i="9" s="1"/>
  <c r="I71" i="9"/>
  <c r="I86" i="9" s="1"/>
  <c r="E62" i="9"/>
  <c r="F62" i="9"/>
  <c r="G62" i="9"/>
  <c r="I27" i="9"/>
  <c r="I37" i="9" s="1"/>
  <c r="H27" i="9"/>
  <c r="H84" i="9" s="1"/>
  <c r="G27" i="9"/>
  <c r="G84" i="9" s="1"/>
  <c r="F27" i="9"/>
  <c r="F84" i="9" s="1"/>
  <c r="E27" i="9"/>
  <c r="E84" i="9" s="1"/>
  <c r="G12" i="9"/>
  <c r="H12" i="9"/>
  <c r="I12" i="9"/>
  <c r="F12" i="9"/>
  <c r="H11" i="7"/>
  <c r="H15" i="7" s="1"/>
  <c r="C26" i="7"/>
  <c r="D88" i="9" l="1"/>
  <c r="K29" i="9"/>
  <c r="G21" i="9"/>
  <c r="F10" i="10" s="1"/>
  <c r="J79" i="9"/>
  <c r="K79" i="9" s="1"/>
  <c r="L79" i="9" s="1"/>
  <c r="F16" i="9"/>
  <c r="E6" i="10" s="1"/>
  <c r="C37" i="7"/>
  <c r="C40" i="7" s="1"/>
  <c r="H21" i="9"/>
  <c r="G10" i="10" s="1"/>
  <c r="I21" i="9"/>
  <c r="H10" i="10" s="1"/>
  <c r="J7" i="9"/>
  <c r="K7" i="9" s="1"/>
  <c r="E21" i="9"/>
  <c r="D10" i="10" s="1"/>
  <c r="F21" i="9"/>
  <c r="E10" i="10" s="1"/>
  <c r="M57" i="9"/>
  <c r="N57" i="9" s="1"/>
  <c r="J8" i="9"/>
  <c r="K8" i="9" s="1"/>
  <c r="J9" i="9"/>
  <c r="K9" i="9" s="1"/>
  <c r="E72" i="9"/>
  <c r="E73" i="9" s="1"/>
  <c r="I72" i="9"/>
  <c r="H72" i="9"/>
  <c r="G72" i="9"/>
  <c r="F72" i="9"/>
  <c r="H31" i="9"/>
  <c r="E14" i="9"/>
  <c r="D4" i="10" s="1"/>
  <c r="F14" i="9"/>
  <c r="E4" i="10" s="1"/>
  <c r="I31" i="9"/>
  <c r="G31" i="9"/>
  <c r="F31" i="9"/>
  <c r="F26" i="7"/>
  <c r="F27" i="7" s="1"/>
  <c r="E26" i="7"/>
  <c r="E27" i="7" s="1"/>
  <c r="D26" i="7"/>
  <c r="D27" i="7" s="1"/>
  <c r="H26" i="7"/>
  <c r="H27" i="7" s="1"/>
  <c r="G26" i="7"/>
  <c r="G27" i="7" s="1"/>
  <c r="H13" i="7"/>
  <c r="C11" i="7"/>
  <c r="G11" i="7"/>
  <c r="F11" i="7"/>
  <c r="E11" i="7"/>
  <c r="D11" i="7"/>
  <c r="M39" i="9"/>
  <c r="N39" i="9" s="1"/>
  <c r="H88" i="9"/>
  <c r="E64" i="9"/>
  <c r="E90" i="9" s="1"/>
  <c r="G88" i="9"/>
  <c r="E16" i="9"/>
  <c r="D6" i="10" s="1"/>
  <c r="G16" i="9"/>
  <c r="F6" i="10" s="1"/>
  <c r="I16" i="9"/>
  <c r="H6" i="10" s="1"/>
  <c r="H16" i="9"/>
  <c r="G6" i="10" s="1"/>
  <c r="H64" i="9"/>
  <c r="H65" i="9" s="1"/>
  <c r="H14" i="9"/>
  <c r="G4" i="10" s="1"/>
  <c r="E88" i="9"/>
  <c r="G14" i="9"/>
  <c r="F4" i="10" s="1"/>
  <c r="F88" i="9"/>
  <c r="I14" i="9"/>
  <c r="H4" i="10" s="1"/>
  <c r="G75" i="9"/>
  <c r="F75" i="9"/>
  <c r="E75" i="9"/>
  <c r="I88" i="9"/>
  <c r="H75" i="9"/>
  <c r="I64" i="9"/>
  <c r="I65" i="9" s="1"/>
  <c r="I84" i="9"/>
  <c r="F64" i="9"/>
  <c r="F65" i="9" s="1"/>
  <c r="I75" i="9"/>
  <c r="G64" i="9"/>
  <c r="H37" i="9"/>
  <c r="G37" i="9"/>
  <c r="F37" i="9"/>
  <c r="L29" i="9" l="1"/>
  <c r="M79" i="9"/>
  <c r="N79" i="9" s="1"/>
  <c r="J12" i="9"/>
  <c r="L7" i="9"/>
  <c r="I23" i="9"/>
  <c r="G23" i="9"/>
  <c r="F12" i="10" s="1"/>
  <c r="F23" i="9"/>
  <c r="E12" i="10" s="1"/>
  <c r="H23" i="9"/>
  <c r="G12" i="10" s="1"/>
  <c r="J73" i="9"/>
  <c r="L9" i="9"/>
  <c r="M9" i="9" s="1"/>
  <c r="N9" i="9" s="1"/>
  <c r="G35" i="9"/>
  <c r="I35" i="9"/>
  <c r="L8" i="9"/>
  <c r="F73" i="9"/>
  <c r="M8" i="9"/>
  <c r="M7" i="9"/>
  <c r="N7" i="9" s="1"/>
  <c r="G73" i="9"/>
  <c r="H73" i="9"/>
  <c r="M73" i="9"/>
  <c r="K73" i="9"/>
  <c r="I73" i="9"/>
  <c r="N73" i="9"/>
  <c r="L73" i="9"/>
  <c r="H35" i="9"/>
  <c r="E65" i="9"/>
  <c r="I33" i="9"/>
  <c r="J31" i="9" s="1"/>
  <c r="H33" i="9"/>
  <c r="F35" i="9"/>
  <c r="G33" i="9"/>
  <c r="F33" i="9"/>
  <c r="G15" i="7"/>
  <c r="G13" i="7"/>
  <c r="F15" i="7"/>
  <c r="F13" i="7"/>
  <c r="C15" i="7"/>
  <c r="C13" i="7"/>
  <c r="D13" i="7"/>
  <c r="D15" i="7"/>
  <c r="E13" i="7"/>
  <c r="E15" i="7"/>
  <c r="H90" i="9"/>
  <c r="H92" i="9" s="1"/>
  <c r="E92" i="9"/>
  <c r="N94" i="9" s="1"/>
  <c r="I90" i="9"/>
  <c r="I92" i="9" s="1"/>
  <c r="F90" i="9"/>
  <c r="F92" i="9" s="1"/>
  <c r="G65" i="9"/>
  <c r="G90" i="9"/>
  <c r="G92" i="9" s="1"/>
  <c r="J19" i="9" l="1"/>
  <c r="J5" i="9" s="1"/>
  <c r="H12" i="10"/>
  <c r="J71" i="9"/>
  <c r="J86" i="9" s="1"/>
  <c r="L95" i="9"/>
  <c r="K94" i="9"/>
  <c r="L94" i="9"/>
  <c r="M95" i="9"/>
  <c r="M94" i="9"/>
  <c r="N95" i="9"/>
  <c r="E94" i="9"/>
  <c r="E95" i="9"/>
  <c r="K95" i="9"/>
  <c r="F95" i="9"/>
  <c r="G95" i="9"/>
  <c r="F94" i="9"/>
  <c r="J94" i="9"/>
  <c r="H95" i="9"/>
  <c r="G94" i="9"/>
  <c r="I95" i="9"/>
  <c r="H94" i="9"/>
  <c r="J95" i="9"/>
  <c r="I94" i="9"/>
  <c r="M29" i="9"/>
  <c r="J14" i="9"/>
  <c r="I4" i="10" s="1"/>
  <c r="J33" i="9"/>
  <c r="J21" i="9"/>
  <c r="I10" i="10" s="1"/>
  <c r="N8" i="9"/>
  <c r="K71" i="9"/>
  <c r="J16" i="9"/>
  <c r="J3" i="9"/>
  <c r="J78" i="9" s="1"/>
  <c r="K12" i="9" l="1"/>
  <c r="K16" i="9" s="1"/>
  <c r="J6" i="10" s="1"/>
  <c r="I6" i="10"/>
  <c r="N29" i="9"/>
  <c r="J35" i="9"/>
  <c r="K31" i="9" s="1"/>
  <c r="J27" i="9"/>
  <c r="J37" i="9" s="1"/>
  <c r="L71" i="9"/>
  <c r="K86" i="9"/>
  <c r="J48" i="9"/>
  <c r="J56" i="9"/>
  <c r="J23" i="9"/>
  <c r="J75" i="9"/>
  <c r="J46" i="9"/>
  <c r="J58" i="9"/>
  <c r="J88" i="9"/>
  <c r="J50" i="9"/>
  <c r="K19" i="9" l="1"/>
  <c r="K5" i="9" s="1"/>
  <c r="I12" i="10"/>
  <c r="K3" i="9"/>
  <c r="K78" i="9" s="1"/>
  <c r="K88" i="9" s="1"/>
  <c r="K14" i="9"/>
  <c r="J84" i="9"/>
  <c r="K35" i="9"/>
  <c r="K75" i="9"/>
  <c r="M71" i="9"/>
  <c r="L86" i="9"/>
  <c r="K58" i="9"/>
  <c r="J62" i="9"/>
  <c r="J64" i="9" s="1"/>
  <c r="K50" i="9" l="1"/>
  <c r="K46" i="9"/>
  <c r="K21" i="9"/>
  <c r="J4" i="10"/>
  <c r="L12" i="9"/>
  <c r="K23" i="9"/>
  <c r="J10" i="10"/>
  <c r="K33" i="9"/>
  <c r="L31" i="9" s="1"/>
  <c r="L35" i="9" s="1"/>
  <c r="K27" i="9"/>
  <c r="N71" i="9"/>
  <c r="N86" i="9" s="1"/>
  <c r="M86" i="9"/>
  <c r="K56" i="9"/>
  <c r="K48" i="9"/>
  <c r="J65" i="9"/>
  <c r="J90" i="9"/>
  <c r="J92" i="9" s="1"/>
  <c r="L19" i="9" l="1"/>
  <c r="J12" i="10"/>
  <c r="L3" i="9"/>
  <c r="L14" i="9"/>
  <c r="L16" i="9"/>
  <c r="K6" i="10" s="1"/>
  <c r="K84" i="9"/>
  <c r="K37" i="9"/>
  <c r="L27" i="9"/>
  <c r="L33" i="9"/>
  <c r="M31" i="9" s="1"/>
  <c r="M35" i="9" s="1"/>
  <c r="K62" i="9"/>
  <c r="K64" i="9" s="1"/>
  <c r="K65" i="9" s="1"/>
  <c r="L21" i="9" l="1"/>
  <c r="L5" i="9"/>
  <c r="L78" i="9"/>
  <c r="L88" i="9" s="1"/>
  <c r="L75" i="9"/>
  <c r="L46" i="9"/>
  <c r="L58" i="9"/>
  <c r="L50" i="9"/>
  <c r="K4" i="10"/>
  <c r="M12" i="9"/>
  <c r="L84" i="9"/>
  <c r="L37" i="9"/>
  <c r="M33" i="9"/>
  <c r="N31" i="9" s="1"/>
  <c r="N33" i="9" s="1"/>
  <c r="M27" i="9"/>
  <c r="K90" i="9"/>
  <c r="K92" i="9" s="1"/>
  <c r="L48" i="9" l="1"/>
  <c r="L56" i="9"/>
  <c r="L23" i="9"/>
  <c r="K10" i="10"/>
  <c r="M3" i="9"/>
  <c r="M50" i="9" s="1"/>
  <c r="M16" i="9"/>
  <c r="L6" i="10" s="1"/>
  <c r="M14" i="9"/>
  <c r="M84" i="9"/>
  <c r="N27" i="9"/>
  <c r="N35" i="9"/>
  <c r="L62" i="9" l="1"/>
  <c r="L64" i="9" s="1"/>
  <c r="L90" i="9" s="1"/>
  <c r="L92" i="9" s="1"/>
  <c r="M19" i="9"/>
  <c r="K12" i="10"/>
  <c r="M58" i="9"/>
  <c r="L4" i="10"/>
  <c r="N12" i="9"/>
  <c r="M78" i="9"/>
  <c r="M88" i="9" s="1"/>
  <c r="M75" i="9"/>
  <c r="M46" i="9"/>
  <c r="M37" i="9"/>
  <c r="N84" i="9"/>
  <c r="L65" i="9" l="1"/>
  <c r="M5" i="9"/>
  <c r="M21" i="9"/>
  <c r="N16" i="9"/>
  <c r="M6" i="10" s="1"/>
  <c r="N3" i="9"/>
  <c r="N14" i="9"/>
  <c r="M4" i="10" s="1"/>
  <c r="M23" i="9" l="1"/>
  <c r="L10" i="10"/>
  <c r="M56" i="9"/>
  <c r="M48" i="9"/>
  <c r="N75" i="9"/>
  <c r="N78" i="9"/>
  <c r="N88" i="9" s="1"/>
  <c r="N46" i="9"/>
  <c r="N50" i="9"/>
  <c r="N37" i="9"/>
  <c r="N58" i="9"/>
  <c r="M62" i="9" l="1"/>
  <c r="M64" i="9" s="1"/>
  <c r="M90" i="9" s="1"/>
  <c r="M92" i="9" s="1"/>
  <c r="N19" i="9"/>
  <c r="L12" i="10"/>
  <c r="M65" i="9" l="1"/>
  <c r="N21" i="9"/>
  <c r="N5" i="9"/>
  <c r="N56" i="9" l="1"/>
  <c r="N48" i="9"/>
  <c r="M10" i="10"/>
  <c r="N23" i="9"/>
  <c r="M12" i="10" s="1"/>
  <c r="N62" i="9" l="1"/>
  <c r="N64" i="9" s="1"/>
  <c r="N90" i="9" s="1"/>
  <c r="N92" i="9" s="1"/>
  <c r="N65" i="9" l="1"/>
  <c r="C104" i="9"/>
  <c r="C106" i="9" s="1"/>
  <c r="C108" i="9" s="1"/>
  <c r="C114" i="9" s="1"/>
  <c r="C118" i="9" s="1"/>
  <c r="B104" i="9"/>
  <c r="B106" i="9" s="1"/>
  <c r="B108" i="9" s="1"/>
  <c r="B114" i="9" s="1"/>
  <c r="B118" i="9" s="1"/>
  <c r="B121" i="9" l="1"/>
</calcChain>
</file>

<file path=xl/sharedStrings.xml><?xml version="1.0" encoding="utf-8"?>
<sst xmlns="http://schemas.openxmlformats.org/spreadsheetml/2006/main" count="2117" uniqueCount="1585">
  <si>
    <t>Hyundai Motor Company</t>
  </si>
  <si>
    <t>Balance Sheet</t>
  </si>
  <si>
    <t/>
  </si>
  <si>
    <t>2018</t>
  </si>
  <si>
    <t>2019</t>
  </si>
  <si>
    <t>2020</t>
  </si>
  <si>
    <t>2021</t>
  </si>
  <si>
    <t>2022</t>
  </si>
  <si>
    <t>2023</t>
  </si>
  <si>
    <t>2024</t>
  </si>
  <si>
    <t>2025</t>
  </si>
  <si>
    <t>Current assets</t>
  </si>
  <si>
    <t>Million KRW</t>
  </si>
  <si>
    <t>Non-current assets</t>
  </si>
  <si>
    <t>Total assets</t>
  </si>
  <si>
    <t>Current liabilities</t>
  </si>
  <si>
    <t>Non-current liabilities</t>
  </si>
  <si>
    <t>Total liabilities</t>
  </si>
  <si>
    <t>Equity attributable to the owners of the Company</t>
  </si>
  <si>
    <t>Non-controlling interests</t>
  </si>
  <si>
    <t>Total equity</t>
  </si>
  <si>
    <t>Total asset growth</t>
  </si>
  <si>
    <t>%</t>
  </si>
  <si>
    <t>Income Statement</t>
  </si>
  <si>
    <t>Sales</t>
  </si>
  <si>
    <t>Gross profit</t>
  </si>
  <si>
    <t>Operating profit</t>
  </si>
  <si>
    <t>Profit before income tax</t>
  </si>
  <si>
    <t>Profit for the year</t>
  </si>
  <si>
    <t>Profit attributable to Owners of the Company</t>
  </si>
  <si>
    <t>Profit attributable to Non-controlling interests</t>
  </si>
  <si>
    <t>Sales growth</t>
  </si>
  <si>
    <t>Profit growth</t>
  </si>
  <si>
    <t>Earnings per share</t>
  </si>
  <si>
    <t>Basic earnings per share: Common stock</t>
  </si>
  <si>
    <t>KRW</t>
  </si>
  <si>
    <t>Basic earnings per share: 1st preferred stock</t>
  </si>
  <si>
    <t>Diluted earnings per share: Common stock</t>
  </si>
  <si>
    <t>Diluted earnings per share: 1st preferred stock</t>
  </si>
  <si>
    <t>Cash Flows</t>
  </si>
  <si>
    <t>Net cash provided by (used in) operating activities</t>
  </si>
  <si>
    <t>Net cash used in investing activities</t>
  </si>
  <si>
    <t>Net cash provided by (used in) financing activities</t>
  </si>
  <si>
    <t>Net increase (decrease) in cash and cash equivalents</t>
  </si>
  <si>
    <t>Cash and cash equivalents, end of the year</t>
  </si>
  <si>
    <t>Key Ratios</t>
  </si>
  <si>
    <t>Current Ratio</t>
  </si>
  <si>
    <t>Liability to equity</t>
  </si>
  <si>
    <t>Debt to equity</t>
  </si>
  <si>
    <t>Return on sales</t>
  </si>
  <si>
    <t>Basic EPS</t>
  </si>
  <si>
    <t>Segment Information</t>
  </si>
  <si>
    <t>Net sales by Division</t>
  </si>
  <si>
    <t xml:space="preserve">Vehicle </t>
  </si>
  <si>
    <t>Finance</t>
  </si>
  <si>
    <t>Others</t>
  </si>
  <si>
    <t>Total</t>
  </si>
  <si>
    <t xml:space="preserve">Operating Income by Division </t>
  </si>
  <si>
    <t>Consolidation adjustments</t>
  </si>
  <si>
    <t>-</t>
  </si>
  <si>
    <t>Sales by region</t>
  </si>
  <si>
    <t>Korea</t>
  </si>
  <si>
    <t>North America</t>
  </si>
  <si>
    <t>Asia</t>
  </si>
  <si>
    <t>Europe</t>
  </si>
  <si>
    <t>1. Net sales by Division - Net sales represent sales from external customers.</t>
  </si>
  <si>
    <t>2. Operating Income by Division  - Operating profit of the vehicle segment include internal transaction adjustments.</t>
  </si>
  <si>
    <t>Supplied by © Euroland.com</t>
  </si>
  <si>
    <t>Date</t>
  </si>
  <si>
    <t>Price</t>
  </si>
  <si>
    <t>Open</t>
  </si>
  <si>
    <t>High</t>
  </si>
  <si>
    <t>Low</t>
  </si>
  <si>
    <t>Vol.</t>
  </si>
  <si>
    <t>Change %</t>
  </si>
  <si>
    <t>570.22K</t>
  </si>
  <si>
    <t>349.74K</t>
  </si>
  <si>
    <t>371.71K</t>
  </si>
  <si>
    <t>421.24K</t>
  </si>
  <si>
    <t>533.27K</t>
  </si>
  <si>
    <t>864.88K</t>
  </si>
  <si>
    <t>1.20M</t>
  </si>
  <si>
    <t>590.76K</t>
  </si>
  <si>
    <t>411.57K</t>
  </si>
  <si>
    <t>327.06K</t>
  </si>
  <si>
    <t>458.58K</t>
  </si>
  <si>
    <t>415.67K</t>
  </si>
  <si>
    <t>527.51K</t>
  </si>
  <si>
    <t>545.66K</t>
  </si>
  <si>
    <t>680.35K</t>
  </si>
  <si>
    <t>826.84K</t>
  </si>
  <si>
    <t>1.08M</t>
  </si>
  <si>
    <t>961.58K</t>
  </si>
  <si>
    <t>1.50M</t>
  </si>
  <si>
    <t>898.42K</t>
  </si>
  <si>
    <t>546.63K</t>
  </si>
  <si>
    <t>896.07K</t>
  </si>
  <si>
    <t>717.60K</t>
  </si>
  <si>
    <t>799.85K</t>
  </si>
  <si>
    <t>992.21K</t>
  </si>
  <si>
    <t>904.77K</t>
  </si>
  <si>
    <t>714.48K</t>
  </si>
  <si>
    <t>940.25K</t>
  </si>
  <si>
    <t>1.29M</t>
  </si>
  <si>
    <t>874.27K</t>
  </si>
  <si>
    <t>653.95K</t>
  </si>
  <si>
    <t>1.13M</t>
  </si>
  <si>
    <t>917.54K</t>
  </si>
  <si>
    <t>946.17K</t>
  </si>
  <si>
    <t>793.95K</t>
  </si>
  <si>
    <t>968.29K</t>
  </si>
  <si>
    <t>1.25M</t>
  </si>
  <si>
    <t>848.32K</t>
  </si>
  <si>
    <t>776.19K</t>
  </si>
  <si>
    <t>1.19M</t>
  </si>
  <si>
    <t>1.57M</t>
  </si>
  <si>
    <t>1.24M</t>
  </si>
  <si>
    <t>1.87M</t>
  </si>
  <si>
    <t>962.32K</t>
  </si>
  <si>
    <t>1.81M</t>
  </si>
  <si>
    <t>928.13K</t>
  </si>
  <si>
    <t>891.04K</t>
  </si>
  <si>
    <t>1.28M</t>
  </si>
  <si>
    <t>1.05M</t>
  </si>
  <si>
    <t>1.41M</t>
  </si>
  <si>
    <t>1.68M</t>
  </si>
  <si>
    <t>1.60M</t>
  </si>
  <si>
    <t>1.33M</t>
  </si>
  <si>
    <t>1.53M</t>
  </si>
  <si>
    <t>1.06M</t>
  </si>
  <si>
    <t>2.32M</t>
  </si>
  <si>
    <t>2.72M</t>
  </si>
  <si>
    <t>3.04M</t>
  </si>
  <si>
    <t>2.19M</t>
  </si>
  <si>
    <t>1.88M</t>
  </si>
  <si>
    <t>1.36M</t>
  </si>
  <si>
    <t>997.83K</t>
  </si>
  <si>
    <t>1.93M</t>
  </si>
  <si>
    <t>1.95M</t>
  </si>
  <si>
    <t>2.68M</t>
  </si>
  <si>
    <t>2.22M</t>
  </si>
  <si>
    <t>4.33M</t>
  </si>
  <si>
    <t>2.40M</t>
  </si>
  <si>
    <t>4.05M</t>
  </si>
  <si>
    <t>4.86M</t>
  </si>
  <si>
    <t>2.57M</t>
  </si>
  <si>
    <t>5.00M</t>
  </si>
  <si>
    <t>2.08M</t>
  </si>
  <si>
    <t>1.69M</t>
  </si>
  <si>
    <t>854.17K</t>
  </si>
  <si>
    <t>1.15M</t>
  </si>
  <si>
    <t>971.76K</t>
  </si>
  <si>
    <t>2.58M</t>
  </si>
  <si>
    <t>930.37K</t>
  </si>
  <si>
    <t>1.23M</t>
  </si>
  <si>
    <t>1.09M</t>
  </si>
  <si>
    <t>747.13K</t>
  </si>
  <si>
    <t>946.61K</t>
  </si>
  <si>
    <t>827.24K</t>
  </si>
  <si>
    <t>693.32K</t>
  </si>
  <si>
    <t>1.52M</t>
  </si>
  <si>
    <t>867.91K</t>
  </si>
  <si>
    <t>778.91K</t>
  </si>
  <si>
    <t>636.03K</t>
  </si>
  <si>
    <t>812.71K</t>
  </si>
  <si>
    <t>988.55K</t>
  </si>
  <si>
    <t>676.75K</t>
  </si>
  <si>
    <t>553.06K</t>
  </si>
  <si>
    <t>659.22K</t>
  </si>
  <si>
    <t>970.24K</t>
  </si>
  <si>
    <t>942.26K</t>
  </si>
  <si>
    <t>1.12M</t>
  </si>
  <si>
    <t>954.46K</t>
  </si>
  <si>
    <t>1.10M</t>
  </si>
  <si>
    <t>978.05K</t>
  </si>
  <si>
    <t>762.64K</t>
  </si>
  <si>
    <t>929.67K</t>
  </si>
  <si>
    <t>1.35M</t>
  </si>
  <si>
    <t>950.44K</t>
  </si>
  <si>
    <t>1.42M</t>
  </si>
  <si>
    <t>1.27M</t>
  </si>
  <si>
    <t>1.90M</t>
  </si>
  <si>
    <t>1.58M</t>
  </si>
  <si>
    <t>2.66M</t>
  </si>
  <si>
    <t>4.85M</t>
  </si>
  <si>
    <t>3.76M</t>
  </si>
  <si>
    <t>4.29M</t>
  </si>
  <si>
    <t>2.89M</t>
  </si>
  <si>
    <t>4.15M</t>
  </si>
  <si>
    <t>1.49M</t>
  </si>
  <si>
    <t>2.09M</t>
  </si>
  <si>
    <t>1.67M</t>
  </si>
  <si>
    <t>3.26M</t>
  </si>
  <si>
    <t>1.70M</t>
  </si>
  <si>
    <t>2.02M</t>
  </si>
  <si>
    <t>1.65M</t>
  </si>
  <si>
    <t>1.71M</t>
  </si>
  <si>
    <t>2.27M</t>
  </si>
  <si>
    <t>2.65M</t>
  </si>
  <si>
    <t>3.03M</t>
  </si>
  <si>
    <t>5.42M</t>
  </si>
  <si>
    <t>2.51M</t>
  </si>
  <si>
    <t>4.49M</t>
  </si>
  <si>
    <t>3.64M</t>
  </si>
  <si>
    <t>4.77M</t>
  </si>
  <si>
    <t>7.18M</t>
  </si>
  <si>
    <t>7.71M</t>
  </si>
  <si>
    <t>5.20M</t>
  </si>
  <si>
    <t>5.99M</t>
  </si>
  <si>
    <t>2.59M</t>
  </si>
  <si>
    <t>2.83M</t>
  </si>
  <si>
    <t>2.81M</t>
  </si>
  <si>
    <t>5.46M</t>
  </si>
  <si>
    <t>3.10M</t>
  </si>
  <si>
    <t>3.05M</t>
  </si>
  <si>
    <t>7.76M</t>
  </si>
  <si>
    <t>3.35M</t>
  </si>
  <si>
    <t>923.28K</t>
  </si>
  <si>
    <t>625.21K</t>
  </si>
  <si>
    <t>697.45K</t>
  </si>
  <si>
    <t>846.88K</t>
  </si>
  <si>
    <t>1.30M</t>
  </si>
  <si>
    <t>699.58K</t>
  </si>
  <si>
    <t>1.21M</t>
  </si>
  <si>
    <t>705.88K</t>
  </si>
  <si>
    <t>686.80K</t>
  </si>
  <si>
    <t>1.26M</t>
  </si>
  <si>
    <t>798.99K</t>
  </si>
  <si>
    <t>827.28K</t>
  </si>
  <si>
    <t>1.47M</t>
  </si>
  <si>
    <t>1.17M</t>
  </si>
  <si>
    <t>3.89M</t>
  </si>
  <si>
    <t>1.99M</t>
  </si>
  <si>
    <t>483.99K</t>
  </si>
  <si>
    <t>555.47K</t>
  </si>
  <si>
    <t>497.27K</t>
  </si>
  <si>
    <t>289.06K</t>
  </si>
  <si>
    <t>402.78K</t>
  </si>
  <si>
    <t>388.69K</t>
  </si>
  <si>
    <t>599.24K</t>
  </si>
  <si>
    <t>538.41K</t>
  </si>
  <si>
    <t>501.20K</t>
  </si>
  <si>
    <t>413.45K</t>
  </si>
  <si>
    <t>475.71K</t>
  </si>
  <si>
    <t>384.31K</t>
  </si>
  <si>
    <t>579.02K</t>
  </si>
  <si>
    <t>679.44K</t>
  </si>
  <si>
    <t>807.53K</t>
  </si>
  <si>
    <t>494.20K</t>
  </si>
  <si>
    <t>692.46K</t>
  </si>
  <si>
    <t>666.77K</t>
  </si>
  <si>
    <t>686.56K</t>
  </si>
  <si>
    <t>3.62M</t>
  </si>
  <si>
    <t>2.96M</t>
  </si>
  <si>
    <t>937.83K</t>
  </si>
  <si>
    <t>677.45K</t>
  </si>
  <si>
    <t>763.12K</t>
  </si>
  <si>
    <t>775.98K</t>
  </si>
  <si>
    <t>900.91K</t>
  </si>
  <si>
    <t>2.00M</t>
  </si>
  <si>
    <t>994.19K</t>
  </si>
  <si>
    <t>2.12M</t>
  </si>
  <si>
    <t>655.12K</t>
  </si>
  <si>
    <t>885.80K</t>
  </si>
  <si>
    <t>544.35K</t>
  </si>
  <si>
    <t>779.16K</t>
  </si>
  <si>
    <t>297.05K</t>
  </si>
  <si>
    <t>315.15K</t>
  </si>
  <si>
    <t>339.11K</t>
  </si>
  <si>
    <t>416.77K</t>
  </si>
  <si>
    <t>509.88K</t>
  </si>
  <si>
    <t>374.07K</t>
  </si>
  <si>
    <t>473.76K</t>
  </si>
  <si>
    <t>499.20K</t>
  </si>
  <si>
    <t>652.89K</t>
  </si>
  <si>
    <t>409.34K</t>
  </si>
  <si>
    <t>488.66K</t>
  </si>
  <si>
    <t>588.26K</t>
  </si>
  <si>
    <t>568.88K</t>
  </si>
  <si>
    <t>427.43K</t>
  </si>
  <si>
    <t>407.16K</t>
  </si>
  <si>
    <t>382.25K</t>
  </si>
  <si>
    <t>245.65K</t>
  </si>
  <si>
    <t>249.50K</t>
  </si>
  <si>
    <t>459.72K</t>
  </si>
  <si>
    <t>365.38K</t>
  </si>
  <si>
    <t>504.67K</t>
  </si>
  <si>
    <t>590.22K</t>
  </si>
  <si>
    <t>726.74K</t>
  </si>
  <si>
    <t>337.16K</t>
  </si>
  <si>
    <t>804.85K</t>
  </si>
  <si>
    <t>419.60K</t>
  </si>
  <si>
    <t>389.20K</t>
  </si>
  <si>
    <t>600.26K</t>
  </si>
  <si>
    <t>784.52K</t>
  </si>
  <si>
    <t>442.22K</t>
  </si>
  <si>
    <t>405.81K</t>
  </si>
  <si>
    <t>546.70K</t>
  </si>
  <si>
    <t>377.57K</t>
  </si>
  <si>
    <t>347.18K</t>
  </si>
  <si>
    <t>298.66K</t>
  </si>
  <si>
    <t>420.68K</t>
  </si>
  <si>
    <t>421.55K</t>
  </si>
  <si>
    <t>372.33K</t>
  </si>
  <si>
    <t>480.51K</t>
  </si>
  <si>
    <t>651.68K</t>
  </si>
  <si>
    <t>2.95M</t>
  </si>
  <si>
    <t>646.42K</t>
  </si>
  <si>
    <t>692.80K</t>
  </si>
  <si>
    <t>665.82K</t>
  </si>
  <si>
    <t>441.60K</t>
  </si>
  <si>
    <t>460.84K</t>
  </si>
  <si>
    <t>317.35K</t>
  </si>
  <si>
    <t>611.35K</t>
  </si>
  <si>
    <t>492.78K</t>
  </si>
  <si>
    <t>1.11M</t>
  </si>
  <si>
    <t>589.55K</t>
  </si>
  <si>
    <t>719.45K</t>
  </si>
  <si>
    <t>524.73K</t>
  </si>
  <si>
    <t>499.23K</t>
  </si>
  <si>
    <t>398.06K</t>
  </si>
  <si>
    <t>415.69K</t>
  </si>
  <si>
    <t>562.76K</t>
  </si>
  <si>
    <t>483.92K</t>
  </si>
  <si>
    <t>764.38K</t>
  </si>
  <si>
    <t>814.62K</t>
  </si>
  <si>
    <t>1.79M</t>
  </si>
  <si>
    <t>713.12K</t>
  </si>
  <si>
    <t>935.00K</t>
  </si>
  <si>
    <t>646.77K</t>
  </si>
  <si>
    <t>538.89K</t>
  </si>
  <si>
    <t>574.93K</t>
  </si>
  <si>
    <t>950.45K</t>
  </si>
  <si>
    <t>500.55K</t>
  </si>
  <si>
    <t>933.61K</t>
  </si>
  <si>
    <t>885.52K</t>
  </si>
  <si>
    <t>649.62K</t>
  </si>
  <si>
    <t>968.95K</t>
  </si>
  <si>
    <t>1.56M</t>
  </si>
  <si>
    <t>797.92K</t>
  </si>
  <si>
    <t>577.33K</t>
  </si>
  <si>
    <t>538.18K</t>
  </si>
  <si>
    <t>766.55K</t>
  </si>
  <si>
    <t>611.93K</t>
  </si>
  <si>
    <t>352.99K</t>
  </si>
  <si>
    <t>623.95K</t>
  </si>
  <si>
    <t>822.02K</t>
  </si>
  <si>
    <t>982.35K</t>
  </si>
  <si>
    <t>518.72K</t>
  </si>
  <si>
    <t>422.76K</t>
  </si>
  <si>
    <t>357.02K</t>
  </si>
  <si>
    <t>311.74K</t>
  </si>
  <si>
    <t>469.36K</t>
  </si>
  <si>
    <t>557.32K</t>
  </si>
  <si>
    <t>462.83K</t>
  </si>
  <si>
    <t>569.60K</t>
  </si>
  <si>
    <t>514.05K</t>
  </si>
  <si>
    <t>528.73K</t>
  </si>
  <si>
    <t>666.18K</t>
  </si>
  <si>
    <t>464.02K</t>
  </si>
  <si>
    <t>429.49K</t>
  </si>
  <si>
    <t>591.50K</t>
  </si>
  <si>
    <t>450.99K</t>
  </si>
  <si>
    <t>499.90K</t>
  </si>
  <si>
    <t>642.75K</t>
  </si>
  <si>
    <t>607.45K</t>
  </si>
  <si>
    <t>392.72K</t>
  </si>
  <si>
    <t>352.36K</t>
  </si>
  <si>
    <t>661.77K</t>
  </si>
  <si>
    <t>522.23K</t>
  </si>
  <si>
    <t>569.80K</t>
  </si>
  <si>
    <t>536.96K</t>
  </si>
  <si>
    <t>1.43M</t>
  </si>
  <si>
    <t>689.62K</t>
  </si>
  <si>
    <t>810.21K</t>
  </si>
  <si>
    <t>954.82K</t>
  </si>
  <si>
    <t>613.43K</t>
  </si>
  <si>
    <t>641.04K</t>
  </si>
  <si>
    <t>931.00K</t>
  </si>
  <si>
    <t>1.00M</t>
  </si>
  <si>
    <t>1.03M</t>
  </si>
  <si>
    <t>1.22M</t>
  </si>
  <si>
    <t>2.10M</t>
  </si>
  <si>
    <t>549.67K</t>
  </si>
  <si>
    <t>466.05K</t>
  </si>
  <si>
    <t>516.64K</t>
  </si>
  <si>
    <t>503.71K</t>
  </si>
  <si>
    <t>366.64K</t>
  </si>
  <si>
    <t>471.62K</t>
  </si>
  <si>
    <t>574.50K</t>
  </si>
  <si>
    <t>349.14K</t>
  </si>
  <si>
    <t>454.27K</t>
  </si>
  <si>
    <t>316.30K</t>
  </si>
  <si>
    <t>534.91K</t>
  </si>
  <si>
    <t>653.21K</t>
  </si>
  <si>
    <t>790.76K</t>
  </si>
  <si>
    <t>586.69K</t>
  </si>
  <si>
    <t>887.50K</t>
  </si>
  <si>
    <t>740.08K</t>
  </si>
  <si>
    <t>645.53K</t>
  </si>
  <si>
    <t>406.18K</t>
  </si>
  <si>
    <t>709.78K</t>
  </si>
  <si>
    <t>329.15K</t>
  </si>
  <si>
    <t>846.79K</t>
  </si>
  <si>
    <t>888.17K</t>
  </si>
  <si>
    <t>623.81K</t>
  </si>
  <si>
    <t>1.48M</t>
  </si>
  <si>
    <t>563.72K</t>
  </si>
  <si>
    <t>740.19K</t>
  </si>
  <si>
    <t>988.85K</t>
  </si>
  <si>
    <t>809.31K</t>
  </si>
  <si>
    <t>602.67K</t>
  </si>
  <si>
    <t>708.76K</t>
  </si>
  <si>
    <t>837.22K</t>
  </si>
  <si>
    <t>907.52K</t>
  </si>
  <si>
    <t>971.63K</t>
  </si>
  <si>
    <t>1.07M</t>
  </si>
  <si>
    <t>829.01K</t>
  </si>
  <si>
    <t>827.57K</t>
  </si>
  <si>
    <t>568.32K</t>
  </si>
  <si>
    <t>800.28K</t>
  </si>
  <si>
    <t>431.53K</t>
  </si>
  <si>
    <t>488.28K</t>
  </si>
  <si>
    <t>544.45K</t>
  </si>
  <si>
    <t>864.62K</t>
  </si>
  <si>
    <t>860.22K</t>
  </si>
  <si>
    <t>601.13K</t>
  </si>
  <si>
    <t>498.74K</t>
  </si>
  <si>
    <t>776.93K</t>
  </si>
  <si>
    <t>454.61K</t>
  </si>
  <si>
    <t>435.06K</t>
  </si>
  <si>
    <t>374.23K</t>
  </si>
  <si>
    <t>389.56K</t>
  </si>
  <si>
    <t>455.99K</t>
  </si>
  <si>
    <t>350.80K</t>
  </si>
  <si>
    <t>445.41K</t>
  </si>
  <si>
    <t>700.75K</t>
  </si>
  <si>
    <t>630.38K</t>
  </si>
  <si>
    <t>709.34K</t>
  </si>
  <si>
    <t>710.39K</t>
  </si>
  <si>
    <t>466.07K</t>
  </si>
  <si>
    <t>526.22K</t>
  </si>
  <si>
    <t>606.32K</t>
  </si>
  <si>
    <t>333.56K</t>
  </si>
  <si>
    <t>615.95K</t>
  </si>
  <si>
    <t>769.97K</t>
  </si>
  <si>
    <t>767.17K</t>
  </si>
  <si>
    <t>586.07K</t>
  </si>
  <si>
    <t>916.93K</t>
  </si>
  <si>
    <t>611.16K</t>
  </si>
  <si>
    <t>518.26K</t>
  </si>
  <si>
    <t>558.70K</t>
  </si>
  <si>
    <t>591.34K</t>
  </si>
  <si>
    <t>720.68K</t>
  </si>
  <si>
    <t>713.92K</t>
  </si>
  <si>
    <t>417.51K</t>
  </si>
  <si>
    <t>496.65K</t>
  </si>
  <si>
    <t>569.74K</t>
  </si>
  <si>
    <t>521.28K</t>
  </si>
  <si>
    <t>705.16K</t>
  </si>
  <si>
    <t>815.37K</t>
  </si>
  <si>
    <t>770.13K</t>
  </si>
  <si>
    <t>908.37K</t>
  </si>
  <si>
    <t>827.59K</t>
  </si>
  <si>
    <t>705.63K</t>
  </si>
  <si>
    <t>1.83M</t>
  </si>
  <si>
    <t>588.85K</t>
  </si>
  <si>
    <t>742.31K</t>
  </si>
  <si>
    <t>755.65K</t>
  </si>
  <si>
    <t>542.02K</t>
  </si>
  <si>
    <t>741.60K</t>
  </si>
  <si>
    <t>630.95K</t>
  </si>
  <si>
    <t>655.55K</t>
  </si>
  <si>
    <t>514.89K</t>
  </si>
  <si>
    <t>438.02K</t>
  </si>
  <si>
    <t>693.41K</t>
  </si>
  <si>
    <t>913.21K</t>
  </si>
  <si>
    <t>769.67K</t>
  </si>
  <si>
    <t>377.61K</t>
  </si>
  <si>
    <t>303.58K</t>
  </si>
  <si>
    <t>281.15K</t>
  </si>
  <si>
    <t>638.75K</t>
  </si>
  <si>
    <t>412.19K</t>
  </si>
  <si>
    <t>722.40K</t>
  </si>
  <si>
    <t>853.12K</t>
  </si>
  <si>
    <t>948.25K</t>
  </si>
  <si>
    <t>768.77K</t>
  </si>
  <si>
    <t>469.38K</t>
  </si>
  <si>
    <t>763.37K</t>
  </si>
  <si>
    <t>564.50K</t>
  </si>
  <si>
    <t>425.60K</t>
  </si>
  <si>
    <t>331.25K</t>
  </si>
  <si>
    <t>799.35K</t>
  </si>
  <si>
    <t>844.85K</t>
  </si>
  <si>
    <t>522.02K</t>
  </si>
  <si>
    <t>655.97K</t>
  </si>
  <si>
    <t>769.18K</t>
  </si>
  <si>
    <t>362.96K</t>
  </si>
  <si>
    <t>618.44K</t>
  </si>
  <si>
    <t>699.80K</t>
  </si>
  <si>
    <t>872.10K</t>
  </si>
  <si>
    <t>935.62K</t>
  </si>
  <si>
    <t>1.02M</t>
  </si>
  <si>
    <t>997.35K</t>
  </si>
  <si>
    <t>1.64M</t>
  </si>
  <si>
    <t>547.74K</t>
  </si>
  <si>
    <t>465.76K</t>
  </si>
  <si>
    <t>445.92K</t>
  </si>
  <si>
    <t>490.17K</t>
  </si>
  <si>
    <t>358.19K</t>
  </si>
  <si>
    <t>659.11K</t>
  </si>
  <si>
    <t>731.59K</t>
  </si>
  <si>
    <t>497.39K</t>
  </si>
  <si>
    <t>354.44K</t>
  </si>
  <si>
    <t>466.23K</t>
  </si>
  <si>
    <t>604.87K</t>
  </si>
  <si>
    <t>676.30K</t>
  </si>
  <si>
    <t>753.50K</t>
  </si>
  <si>
    <t>886.26K</t>
  </si>
  <si>
    <t>731.26K</t>
  </si>
  <si>
    <t>578.21K</t>
  </si>
  <si>
    <t>593.29K</t>
  </si>
  <si>
    <t>814.80K</t>
  </si>
  <si>
    <t>589.86K</t>
  </si>
  <si>
    <t>800.95K</t>
  </si>
  <si>
    <t>762.95K</t>
  </si>
  <si>
    <t>732.12K</t>
  </si>
  <si>
    <t>509.68K</t>
  </si>
  <si>
    <t>550.18K</t>
  </si>
  <si>
    <t>537.12K</t>
  </si>
  <si>
    <t>663.20K</t>
  </si>
  <si>
    <t>649.27K</t>
  </si>
  <si>
    <t>662.98K</t>
  </si>
  <si>
    <t>602.32K</t>
  </si>
  <si>
    <t>582.85K</t>
  </si>
  <si>
    <t>549.43K</t>
  </si>
  <si>
    <t>1.55M</t>
  </si>
  <si>
    <t>852.85K</t>
  </si>
  <si>
    <t>756.09K</t>
  </si>
  <si>
    <t>689.55K</t>
  </si>
  <si>
    <t>594.87K</t>
  </si>
  <si>
    <t>863.41K</t>
  </si>
  <si>
    <t>625.55K</t>
  </si>
  <si>
    <t>775.23K</t>
  </si>
  <si>
    <t>1.85M</t>
  </si>
  <si>
    <t>565.05K</t>
  </si>
  <si>
    <t>964.84K</t>
  </si>
  <si>
    <t>942.89K</t>
  </si>
  <si>
    <t>517.23K</t>
  </si>
  <si>
    <t>852.75K</t>
  </si>
  <si>
    <t>654.85K</t>
  </si>
  <si>
    <t>1.18M</t>
  </si>
  <si>
    <t>906.70K</t>
  </si>
  <si>
    <t>635.89K</t>
  </si>
  <si>
    <t>959.30K</t>
  </si>
  <si>
    <t>590.83K</t>
  </si>
  <si>
    <t>1.01M</t>
  </si>
  <si>
    <t>3.32M</t>
  </si>
  <si>
    <t>564.14K</t>
  </si>
  <si>
    <t>845.84K</t>
  </si>
  <si>
    <t>407.13K</t>
  </si>
  <si>
    <t>556.26K</t>
  </si>
  <si>
    <t>668.10K</t>
  </si>
  <si>
    <t>547.88K</t>
  </si>
  <si>
    <t>453.31K</t>
  </si>
  <si>
    <t>702.30K</t>
  </si>
  <si>
    <t>436.83K</t>
  </si>
  <si>
    <t>797.16K</t>
  </si>
  <si>
    <t>721.22K</t>
  </si>
  <si>
    <t>599.89K</t>
  </si>
  <si>
    <t>537.42K</t>
  </si>
  <si>
    <t>850.13K</t>
  </si>
  <si>
    <t>977.03K</t>
  </si>
  <si>
    <t>1.14M</t>
  </si>
  <si>
    <t>1.31M</t>
  </si>
  <si>
    <t>993.90K</t>
  </si>
  <si>
    <t>660.85K</t>
  </si>
  <si>
    <t>1.72M</t>
  </si>
  <si>
    <t>878.09K</t>
  </si>
  <si>
    <t>839.11K</t>
  </si>
  <si>
    <t>980.84K</t>
  </si>
  <si>
    <t>808.44K</t>
  </si>
  <si>
    <t>792.39K</t>
  </si>
  <si>
    <t>774.97K</t>
  </si>
  <si>
    <t>939.93K</t>
  </si>
  <si>
    <t>716.11K</t>
  </si>
  <si>
    <t>0.88K</t>
  </si>
  <si>
    <t>1.16M</t>
  </si>
  <si>
    <t>983.20K</t>
  </si>
  <si>
    <t>1.84M</t>
  </si>
  <si>
    <t>2.03M</t>
  </si>
  <si>
    <t>1.74M</t>
  </si>
  <si>
    <t>1.91M</t>
  </si>
  <si>
    <t>1.78M</t>
  </si>
  <si>
    <t>2.23M</t>
  </si>
  <si>
    <t>2.99M</t>
  </si>
  <si>
    <t>2.69M</t>
  </si>
  <si>
    <t>5.70M</t>
  </si>
  <si>
    <t>5.81M</t>
  </si>
  <si>
    <t>2.85M</t>
  </si>
  <si>
    <t>950.83K</t>
  </si>
  <si>
    <t>465.40K</t>
  </si>
  <si>
    <t>746.50K</t>
  </si>
  <si>
    <t>345.24K</t>
  </si>
  <si>
    <t>374.09K</t>
  </si>
  <si>
    <t>354.12K</t>
  </si>
  <si>
    <t>287.50K</t>
  </si>
  <si>
    <t>431.33K</t>
  </si>
  <si>
    <t>479.48K</t>
  </si>
  <si>
    <t>224.57K</t>
  </si>
  <si>
    <t>250.35K</t>
  </si>
  <si>
    <t>239.48K</t>
  </si>
  <si>
    <t>532.72K</t>
  </si>
  <si>
    <t>324.84K</t>
  </si>
  <si>
    <t>346.45K</t>
  </si>
  <si>
    <t>321.88K</t>
  </si>
  <si>
    <t>437.61K</t>
  </si>
  <si>
    <t>503.56K</t>
  </si>
  <si>
    <t>546.36K</t>
  </si>
  <si>
    <t>371.66K</t>
  </si>
  <si>
    <t>744.87K</t>
  </si>
  <si>
    <t>323.75K</t>
  </si>
  <si>
    <t>406.75K</t>
  </si>
  <si>
    <t>345.94K</t>
  </si>
  <si>
    <t>541.22K</t>
  </si>
  <si>
    <t>958.81K</t>
  </si>
  <si>
    <t>271.54K</t>
  </si>
  <si>
    <t>480.11K</t>
  </si>
  <si>
    <t>756.49K</t>
  </si>
  <si>
    <t>286.19K</t>
  </si>
  <si>
    <t>326.92K</t>
  </si>
  <si>
    <t>217.36K</t>
  </si>
  <si>
    <t>326.72K</t>
  </si>
  <si>
    <t>295.42K</t>
  </si>
  <si>
    <t>279.26K</t>
  </si>
  <si>
    <t>273.68K</t>
  </si>
  <si>
    <t>299.62K</t>
  </si>
  <si>
    <t>297.55K</t>
  </si>
  <si>
    <t>551.81K</t>
  </si>
  <si>
    <t>283.94K</t>
  </si>
  <si>
    <t>269.10K</t>
  </si>
  <si>
    <t>187.66K</t>
  </si>
  <si>
    <t>160.95K</t>
  </si>
  <si>
    <t>240.05K</t>
  </si>
  <si>
    <t>218.51K</t>
  </si>
  <si>
    <t>252.13K</t>
  </si>
  <si>
    <t>277.01K</t>
  </si>
  <si>
    <t>259.42K</t>
  </si>
  <si>
    <t>421.76K</t>
  </si>
  <si>
    <t>803.24K</t>
  </si>
  <si>
    <t>327.98K</t>
  </si>
  <si>
    <t>320.60K</t>
  </si>
  <si>
    <t>248.41K</t>
  </si>
  <si>
    <t>374.38K</t>
  </si>
  <si>
    <t>393.64K</t>
  </si>
  <si>
    <t>531.63K</t>
  </si>
  <si>
    <t>657.27K</t>
  </si>
  <si>
    <t>430.11K</t>
  </si>
  <si>
    <t>657.82K</t>
  </si>
  <si>
    <t>448.00K</t>
  </si>
  <si>
    <t>683.09K</t>
  </si>
  <si>
    <t>724.26K</t>
  </si>
  <si>
    <t>782.58K</t>
  </si>
  <si>
    <t>633.94K</t>
  </si>
  <si>
    <t>373.25K</t>
  </si>
  <si>
    <t>416.79K</t>
  </si>
  <si>
    <t>285.78K</t>
  </si>
  <si>
    <t>596.69K</t>
  </si>
  <si>
    <t>382.14K</t>
  </si>
  <si>
    <t>532.29K</t>
  </si>
  <si>
    <t>411.94K</t>
  </si>
  <si>
    <t>290.44K</t>
  </si>
  <si>
    <t>253.07K</t>
  </si>
  <si>
    <t>449.44K</t>
  </si>
  <si>
    <t>429.00K</t>
  </si>
  <si>
    <t>573.81K</t>
  </si>
  <si>
    <t>332.79K</t>
  </si>
  <si>
    <t>394.90K</t>
  </si>
  <si>
    <t>631.82K</t>
  </si>
  <si>
    <t>321.70K</t>
  </si>
  <si>
    <t>301.31K</t>
  </si>
  <si>
    <t>345.21K</t>
  </si>
  <si>
    <t>319.18K</t>
  </si>
  <si>
    <t>321.71K</t>
  </si>
  <si>
    <t>630.89K</t>
  </si>
  <si>
    <t>289.09K</t>
  </si>
  <si>
    <t>289.26K</t>
  </si>
  <si>
    <t>511.61K</t>
  </si>
  <si>
    <t>627.28K</t>
  </si>
  <si>
    <t>578.38K</t>
  </si>
  <si>
    <t>272.91K</t>
  </si>
  <si>
    <t>194.26K</t>
  </si>
  <si>
    <t>190.72K</t>
  </si>
  <si>
    <t>297.90K</t>
  </si>
  <si>
    <t>259.08K</t>
  </si>
  <si>
    <t>289.73K</t>
  </si>
  <si>
    <t>306.48K</t>
  </si>
  <si>
    <t>280.29K</t>
  </si>
  <si>
    <t>582.79K</t>
  </si>
  <si>
    <t>330.22K</t>
  </si>
  <si>
    <t>315.80K</t>
  </si>
  <si>
    <t>297.83K</t>
  </si>
  <si>
    <t>363.25K</t>
  </si>
  <si>
    <t>318.10K</t>
  </si>
  <si>
    <t>251.61K</t>
  </si>
  <si>
    <t>296.84K</t>
  </si>
  <si>
    <t>279.03K</t>
  </si>
  <si>
    <t>419.45K</t>
  </si>
  <si>
    <t>456.26K</t>
  </si>
  <si>
    <t>556.59K</t>
  </si>
  <si>
    <t>295.17K</t>
  </si>
  <si>
    <t>524.01K</t>
  </si>
  <si>
    <t>487.64K</t>
  </si>
  <si>
    <t>365.26K</t>
  </si>
  <si>
    <t>555.93K</t>
  </si>
  <si>
    <t>838.68K</t>
  </si>
  <si>
    <t>371.13K</t>
  </si>
  <si>
    <t>529.35K</t>
  </si>
  <si>
    <t>911.13K</t>
  </si>
  <si>
    <t>694.07K</t>
  </si>
  <si>
    <t>666.82K</t>
  </si>
  <si>
    <t>778.34K</t>
  </si>
  <si>
    <t>1.34M</t>
  </si>
  <si>
    <t>490.09K</t>
  </si>
  <si>
    <t>612.52K</t>
  </si>
  <si>
    <t>506.51K</t>
  </si>
  <si>
    <t>527.67K</t>
  </si>
  <si>
    <t>490.07K</t>
  </si>
  <si>
    <t>498.40K</t>
  </si>
  <si>
    <t>514.29K</t>
  </si>
  <si>
    <t>654.41K</t>
  </si>
  <si>
    <t>539.93K</t>
  </si>
  <si>
    <t>501.41K</t>
  </si>
  <si>
    <t>536.88K</t>
  </si>
  <si>
    <t>509.91K</t>
  </si>
  <si>
    <t>474.94K</t>
  </si>
  <si>
    <t>641.76K</t>
  </si>
  <si>
    <t>584.90K</t>
  </si>
  <si>
    <t>423.72K</t>
  </si>
  <si>
    <t>543.73K</t>
  </si>
  <si>
    <t>543.09K</t>
  </si>
  <si>
    <t>314.27K</t>
  </si>
  <si>
    <t>627.23K</t>
  </si>
  <si>
    <t>805.63K</t>
  </si>
  <si>
    <t>305.05K</t>
  </si>
  <si>
    <t>347.95K</t>
  </si>
  <si>
    <t>390.66K</t>
  </si>
  <si>
    <t>329.64K</t>
  </si>
  <si>
    <t>374.60K</t>
  </si>
  <si>
    <t>544.05K</t>
  </si>
  <si>
    <t>353.85K</t>
  </si>
  <si>
    <t>658.88K</t>
  </si>
  <si>
    <t>473.79K</t>
  </si>
  <si>
    <t>427.94K</t>
  </si>
  <si>
    <t>414.51K</t>
  </si>
  <si>
    <t>917.01K</t>
  </si>
  <si>
    <t>954.59K</t>
  </si>
  <si>
    <t>425.95K</t>
  </si>
  <si>
    <t>415.11K</t>
  </si>
  <si>
    <t>788.43K</t>
  </si>
  <si>
    <t>876.40K</t>
  </si>
  <si>
    <t>858.88K</t>
  </si>
  <si>
    <t>594.30K</t>
  </si>
  <si>
    <t>525.84K</t>
  </si>
  <si>
    <t>303.68K</t>
  </si>
  <si>
    <t>355.53K</t>
  </si>
  <si>
    <t>467.43K</t>
  </si>
  <si>
    <t>526.48K</t>
  </si>
  <si>
    <t>475.74K</t>
  </si>
  <si>
    <t>547.64K</t>
  </si>
  <si>
    <t>871.57K</t>
  </si>
  <si>
    <t>591.57K</t>
  </si>
  <si>
    <t>538.66K</t>
  </si>
  <si>
    <t>915.63K</t>
  </si>
  <si>
    <t>702.22K</t>
  </si>
  <si>
    <t>588.58K</t>
  </si>
  <si>
    <t>471.52K</t>
  </si>
  <si>
    <t>458.09K</t>
  </si>
  <si>
    <t>570.53K</t>
  </si>
  <si>
    <t>973.03K</t>
  </si>
  <si>
    <t>2.21M</t>
  </si>
  <si>
    <t>2.06M</t>
  </si>
  <si>
    <t>433.47K</t>
  </si>
  <si>
    <t>452.50K</t>
  </si>
  <si>
    <t>422.80K</t>
  </si>
  <si>
    <t>569.94K</t>
  </si>
  <si>
    <t>960.04K</t>
  </si>
  <si>
    <t>494.82K</t>
  </si>
  <si>
    <t>667.02K</t>
  </si>
  <si>
    <t>820.36K</t>
  </si>
  <si>
    <t>1.51M</t>
  </si>
  <si>
    <t>479.26K</t>
  </si>
  <si>
    <t>434.97K</t>
  </si>
  <si>
    <t>508.12K</t>
  </si>
  <si>
    <t>507.65K</t>
  </si>
  <si>
    <t>529.88K</t>
  </si>
  <si>
    <t>655.92K</t>
  </si>
  <si>
    <t>525.56K</t>
  </si>
  <si>
    <t>570.61K</t>
  </si>
  <si>
    <t>339.32K</t>
  </si>
  <si>
    <t>401.17K</t>
  </si>
  <si>
    <t>648.26K</t>
  </si>
  <si>
    <t>589.57K</t>
  </si>
  <si>
    <t>716.76K</t>
  </si>
  <si>
    <t>296.89K</t>
  </si>
  <si>
    <t>365.35K</t>
  </si>
  <si>
    <t>506.64K</t>
  </si>
  <si>
    <t>391.69K</t>
  </si>
  <si>
    <t>480.40K</t>
  </si>
  <si>
    <t>587.94K</t>
  </si>
  <si>
    <t>528.94K</t>
  </si>
  <si>
    <t>442.67K</t>
  </si>
  <si>
    <t>804.45K</t>
  </si>
  <si>
    <t>488.82K</t>
  </si>
  <si>
    <t>461.31K</t>
  </si>
  <si>
    <t>546.11K</t>
  </si>
  <si>
    <t>547.94K</t>
  </si>
  <si>
    <t>720.86K</t>
  </si>
  <si>
    <t>759.99K</t>
  </si>
  <si>
    <t>426.38K</t>
  </si>
  <si>
    <t>359.49K</t>
  </si>
  <si>
    <t>444.66K</t>
  </si>
  <si>
    <t>429.27K</t>
  </si>
  <si>
    <t>452.64K</t>
  </si>
  <si>
    <t>404.22K</t>
  </si>
  <si>
    <t>456.81K</t>
  </si>
  <si>
    <t>450.34K</t>
  </si>
  <si>
    <t>501.94K</t>
  </si>
  <si>
    <t>371.53K</t>
  </si>
  <si>
    <t>371.97K</t>
  </si>
  <si>
    <t>581.47K</t>
  </si>
  <si>
    <t>441.79K</t>
  </si>
  <si>
    <t>531.66K</t>
  </si>
  <si>
    <t>581.43K</t>
  </si>
  <si>
    <t>767.05K</t>
  </si>
  <si>
    <t>546.24K</t>
  </si>
  <si>
    <t>597.16K</t>
  </si>
  <si>
    <t>684.99K</t>
  </si>
  <si>
    <t>789.62K</t>
  </si>
  <si>
    <t>357.48K</t>
  </si>
  <si>
    <t>294.93K</t>
  </si>
  <si>
    <t>352.68K</t>
  </si>
  <si>
    <t>498.76K</t>
  </si>
  <si>
    <t>449.99K</t>
  </si>
  <si>
    <t>796.47K</t>
  </si>
  <si>
    <t>705.94K</t>
  </si>
  <si>
    <t>868.00K</t>
  </si>
  <si>
    <t>365.93K</t>
  </si>
  <si>
    <t>409.41K</t>
  </si>
  <si>
    <t>612.37K</t>
  </si>
  <si>
    <t>499.83K</t>
  </si>
  <si>
    <t>574.82K</t>
  </si>
  <si>
    <t>460.10K</t>
  </si>
  <si>
    <t>783.31K</t>
  </si>
  <si>
    <t>544.92K</t>
  </si>
  <si>
    <t>597.75K</t>
  </si>
  <si>
    <t>386.38K</t>
  </si>
  <si>
    <t>335.01K</t>
  </si>
  <si>
    <t>450.42K</t>
  </si>
  <si>
    <t>527.46K</t>
  </si>
  <si>
    <t>896.69K</t>
  </si>
  <si>
    <t>730.24K</t>
  </si>
  <si>
    <t>440.11K</t>
  </si>
  <si>
    <t>379.94K</t>
  </si>
  <si>
    <t>613.45K</t>
  </si>
  <si>
    <t>751.26K</t>
  </si>
  <si>
    <t>231.31K</t>
  </si>
  <si>
    <t>460.00K</t>
  </si>
  <si>
    <t>701.41K</t>
  </si>
  <si>
    <t>371.41K</t>
  </si>
  <si>
    <t>428.11K</t>
  </si>
  <si>
    <t>781.92K</t>
  </si>
  <si>
    <t>450.97K</t>
  </si>
  <si>
    <t>497.92K</t>
  </si>
  <si>
    <t>424.50K</t>
  </si>
  <si>
    <t>338.86K</t>
  </si>
  <si>
    <t>549.45K</t>
  </si>
  <si>
    <t>353.50K</t>
  </si>
  <si>
    <t>320.51K</t>
  </si>
  <si>
    <t>447.50K</t>
  </si>
  <si>
    <t>450.13K</t>
  </si>
  <si>
    <t>513.75K</t>
  </si>
  <si>
    <t>531.61K</t>
  </si>
  <si>
    <t>493.94K</t>
  </si>
  <si>
    <t>633.18K</t>
  </si>
  <si>
    <t>834.94K</t>
  </si>
  <si>
    <t>1.37M</t>
  </si>
  <si>
    <t>973.01K</t>
  </si>
  <si>
    <t>949.73K</t>
  </si>
  <si>
    <t>800.85K</t>
  </si>
  <si>
    <t>515.34K</t>
  </si>
  <si>
    <t>987.79K</t>
  </si>
  <si>
    <t>925.62K</t>
  </si>
  <si>
    <t>621.53K</t>
  </si>
  <si>
    <t>612.14K</t>
  </si>
  <si>
    <t>749.14K</t>
  </si>
  <si>
    <t>872.82K</t>
  </si>
  <si>
    <t>963.62K</t>
  </si>
  <si>
    <t>693.07K</t>
  </si>
  <si>
    <t>684.39K</t>
  </si>
  <si>
    <t>656.59K</t>
  </si>
  <si>
    <t>653.06K</t>
  </si>
  <si>
    <t>683.30K</t>
  </si>
  <si>
    <t>815.99K</t>
  </si>
  <si>
    <t>539.22K</t>
  </si>
  <si>
    <t>600.32K</t>
  </si>
  <si>
    <t>822.99K</t>
  </si>
  <si>
    <t>993.94K</t>
  </si>
  <si>
    <t>708.61K</t>
  </si>
  <si>
    <t>864.57K</t>
  </si>
  <si>
    <t>1.39M</t>
  </si>
  <si>
    <t>677.31K</t>
  </si>
  <si>
    <t>528.71K</t>
  </si>
  <si>
    <t>618.62K</t>
  </si>
  <si>
    <t>690.46K</t>
  </si>
  <si>
    <t>677.15K</t>
  </si>
  <si>
    <t>904.01K</t>
  </si>
  <si>
    <t>400.25K</t>
  </si>
  <si>
    <t>665.35K</t>
  </si>
  <si>
    <t>908.30K</t>
  </si>
  <si>
    <t>852.65K</t>
  </si>
  <si>
    <t>754.66K</t>
  </si>
  <si>
    <t>587.71K</t>
  </si>
  <si>
    <t>870.14K</t>
  </si>
  <si>
    <t>1.40M</t>
  </si>
  <si>
    <t>781.96K</t>
  </si>
  <si>
    <t>708.58K</t>
  </si>
  <si>
    <t>883.28K</t>
  </si>
  <si>
    <t>598.99K</t>
  </si>
  <si>
    <t>472.18K</t>
  </si>
  <si>
    <t>546.35K</t>
  </si>
  <si>
    <t>697.52K</t>
  </si>
  <si>
    <t>708.89K</t>
  </si>
  <si>
    <t>530.43K</t>
  </si>
  <si>
    <t>765.89K</t>
  </si>
  <si>
    <t>503.08K</t>
  </si>
  <si>
    <t>623.50K</t>
  </si>
  <si>
    <t>726.48K</t>
  </si>
  <si>
    <t>505.71K</t>
  </si>
  <si>
    <t>959.89K</t>
  </si>
  <si>
    <t>631.97K</t>
  </si>
  <si>
    <t>915.83K</t>
  </si>
  <si>
    <t>618.46K</t>
  </si>
  <si>
    <t>679.12K</t>
  </si>
  <si>
    <t>709.97K</t>
  </si>
  <si>
    <t>599.31K</t>
  </si>
  <si>
    <t>841.74K</t>
  </si>
  <si>
    <t>755.17K</t>
  </si>
  <si>
    <t>601.29K</t>
  </si>
  <si>
    <t>733.76K</t>
  </si>
  <si>
    <t>2.13M</t>
  </si>
  <si>
    <t>981.57K</t>
  </si>
  <si>
    <t>811.45K</t>
  </si>
  <si>
    <t>694.59K</t>
  </si>
  <si>
    <t>763.86K</t>
  </si>
  <si>
    <t>772.22K</t>
  </si>
  <si>
    <t>933.99K</t>
  </si>
  <si>
    <t>537.01K</t>
  </si>
  <si>
    <t>658.93K</t>
  </si>
  <si>
    <t>822.67K</t>
  </si>
  <si>
    <t>534.47K</t>
  </si>
  <si>
    <t>919.59K</t>
  </si>
  <si>
    <t>908.54K</t>
  </si>
  <si>
    <t>2.54M</t>
  </si>
  <si>
    <t>471.36K</t>
  </si>
  <si>
    <t>802.36K</t>
  </si>
  <si>
    <t>628.83K</t>
  </si>
  <si>
    <t>528.67K</t>
  </si>
  <si>
    <t>513.97K</t>
  </si>
  <si>
    <t>776.95K</t>
  </si>
  <si>
    <t>611.43K</t>
  </si>
  <si>
    <t>990.74K</t>
  </si>
  <si>
    <t>568.93K</t>
  </si>
  <si>
    <t>653.84K</t>
  </si>
  <si>
    <t>555.69K</t>
  </si>
  <si>
    <t>619.91K</t>
  </si>
  <si>
    <t>398.01K</t>
  </si>
  <si>
    <t>387.00K</t>
  </si>
  <si>
    <t>904.75K</t>
  </si>
  <si>
    <t>366.08K</t>
  </si>
  <si>
    <t>334.08K</t>
  </si>
  <si>
    <t>427.28K</t>
  </si>
  <si>
    <t>480.06K</t>
  </si>
  <si>
    <t>429.32K</t>
  </si>
  <si>
    <t>434.10K</t>
  </si>
  <si>
    <t>465.30K</t>
  </si>
  <si>
    <t>539.42K</t>
  </si>
  <si>
    <t>537.91K</t>
  </si>
  <si>
    <t>526.33K</t>
  </si>
  <si>
    <t>546.67K</t>
  </si>
  <si>
    <t>921.44K</t>
  </si>
  <si>
    <t>689.50K</t>
  </si>
  <si>
    <t>722.46K</t>
  </si>
  <si>
    <t>770.25K</t>
  </si>
  <si>
    <t>501.89K</t>
  </si>
  <si>
    <t>372.48K</t>
  </si>
  <si>
    <t>346.64K</t>
  </si>
  <si>
    <t>660.02K</t>
  </si>
  <si>
    <t>490.95K</t>
  </si>
  <si>
    <t>761.55K</t>
  </si>
  <si>
    <t>701.95K</t>
  </si>
  <si>
    <t>2.31M</t>
  </si>
  <si>
    <t>851.03K</t>
  </si>
  <si>
    <t>652.55K</t>
  </si>
  <si>
    <t>811.80K</t>
  </si>
  <si>
    <t>621.46K</t>
  </si>
  <si>
    <t>272.81K</t>
  </si>
  <si>
    <t>556.80K</t>
  </si>
  <si>
    <t>895.12K</t>
  </si>
  <si>
    <t>495.70K</t>
  </si>
  <si>
    <t>612.70K</t>
  </si>
  <si>
    <t>638.85K</t>
  </si>
  <si>
    <t>456.87K</t>
  </si>
  <si>
    <t>773.71K</t>
  </si>
  <si>
    <t>637.92K</t>
  </si>
  <si>
    <t>397.32K</t>
  </si>
  <si>
    <t>507.98K</t>
  </si>
  <si>
    <t>460.81K</t>
  </si>
  <si>
    <t>573.16K</t>
  </si>
  <si>
    <t>542.93K</t>
  </si>
  <si>
    <t>458.00K</t>
  </si>
  <si>
    <t>561.34K</t>
  </si>
  <si>
    <t>704.28K</t>
  </si>
  <si>
    <t>949.82K</t>
  </si>
  <si>
    <t>577.56K</t>
  </si>
  <si>
    <t>756.63K</t>
  </si>
  <si>
    <t>937.01K</t>
  </si>
  <si>
    <t>859.37K</t>
  </si>
  <si>
    <t>873.12K</t>
  </si>
  <si>
    <t>771.29K</t>
  </si>
  <si>
    <t>724.54K</t>
  </si>
  <si>
    <t>862.58K</t>
  </si>
  <si>
    <t>944.79K</t>
  </si>
  <si>
    <t>546.22K</t>
  </si>
  <si>
    <t>561.30K</t>
  </si>
  <si>
    <t>460.65K</t>
  </si>
  <si>
    <t>425.07K</t>
  </si>
  <si>
    <t>0.02K</t>
  </si>
  <si>
    <t>0.00K</t>
  </si>
  <si>
    <t>952.24K</t>
  </si>
  <si>
    <t>0.29K</t>
  </si>
  <si>
    <t>996.54K</t>
  </si>
  <si>
    <t>990.14K</t>
  </si>
  <si>
    <t>822.87K</t>
  </si>
  <si>
    <t>831.95K</t>
  </si>
  <si>
    <t>0.33K</t>
  </si>
  <si>
    <t>0.68K</t>
  </si>
  <si>
    <t>0.69K</t>
  </si>
  <si>
    <t>655.60K</t>
  </si>
  <si>
    <t>511.87K</t>
  </si>
  <si>
    <t>0.16K</t>
  </si>
  <si>
    <t>522.38K</t>
  </si>
  <si>
    <t>577.58K</t>
  </si>
  <si>
    <t>721.98K</t>
  </si>
  <si>
    <t>404.24K</t>
  </si>
  <si>
    <t>497.33K</t>
  </si>
  <si>
    <t>467.91K</t>
  </si>
  <si>
    <t>0.07K</t>
  </si>
  <si>
    <t>0.18K</t>
  </si>
  <si>
    <t>575.22K</t>
  </si>
  <si>
    <t>0.14K</t>
  </si>
  <si>
    <t>0.06K</t>
  </si>
  <si>
    <t>467.14K</t>
  </si>
  <si>
    <t>578.79K</t>
  </si>
  <si>
    <t>0.10K</t>
  </si>
  <si>
    <t>0.01K</t>
  </si>
  <si>
    <t>0.23K</t>
  </si>
  <si>
    <t>616.65K</t>
  </si>
  <si>
    <t>0.21K</t>
  </si>
  <si>
    <t>442.54K</t>
  </si>
  <si>
    <t>773.27K</t>
  </si>
  <si>
    <t>0.26K</t>
  </si>
  <si>
    <t>0.09K</t>
  </si>
  <si>
    <t>512.81K</t>
  </si>
  <si>
    <t>0.03K</t>
  </si>
  <si>
    <t>0.63K</t>
  </si>
  <si>
    <t>895.46K</t>
  </si>
  <si>
    <t>885.85K</t>
  </si>
  <si>
    <t>0.85K</t>
  </si>
  <si>
    <t>1.34K</t>
  </si>
  <si>
    <t>824.85K</t>
  </si>
  <si>
    <t>524.37K</t>
  </si>
  <si>
    <t>713.46K</t>
  </si>
  <si>
    <t>0.31K</t>
  </si>
  <si>
    <t>0.05K</t>
  </si>
  <si>
    <t>413.88K</t>
  </si>
  <si>
    <t>0.25K</t>
  </si>
  <si>
    <t>0.11K</t>
  </si>
  <si>
    <t>679.68K</t>
  </si>
  <si>
    <t>474.68K</t>
  </si>
  <si>
    <t>616.26K</t>
  </si>
  <si>
    <t>0.50K</t>
  </si>
  <si>
    <t>0.43K</t>
  </si>
  <si>
    <t>359.41K</t>
  </si>
  <si>
    <t>0.17K</t>
  </si>
  <si>
    <t>426.63K</t>
  </si>
  <si>
    <t>528.28K</t>
  </si>
  <si>
    <t>0.08K</t>
  </si>
  <si>
    <t>817.53K</t>
  </si>
  <si>
    <t>990.16K</t>
  </si>
  <si>
    <t>0.38K</t>
  </si>
  <si>
    <t>0.20K</t>
  </si>
  <si>
    <t>580.64K</t>
  </si>
  <si>
    <t>409.94K</t>
  </si>
  <si>
    <t>693.21K</t>
  </si>
  <si>
    <t>413.00K</t>
  </si>
  <si>
    <t>0.42K</t>
  </si>
  <si>
    <t>675.19K</t>
  </si>
  <si>
    <t>0.22K</t>
  </si>
  <si>
    <t>0.39K</t>
  </si>
  <si>
    <t>0.04K</t>
  </si>
  <si>
    <t>604.50K</t>
  </si>
  <si>
    <t>0.15K</t>
  </si>
  <si>
    <t>408.40K</t>
  </si>
  <si>
    <t>500.56K</t>
  </si>
  <si>
    <t>0.61K</t>
  </si>
  <si>
    <t>474.70K</t>
  </si>
  <si>
    <t>740.47K</t>
  </si>
  <si>
    <t>844.40K</t>
  </si>
  <si>
    <t>0.84K</t>
  </si>
  <si>
    <t>668.60K</t>
  </si>
  <si>
    <t>0.13K</t>
  </si>
  <si>
    <t>859.83K</t>
  </si>
  <si>
    <t>0.12K</t>
  </si>
  <si>
    <t>487.46K</t>
  </si>
  <si>
    <t>0.24K</t>
  </si>
  <si>
    <t>380.63K</t>
  </si>
  <si>
    <t>469.27K</t>
  </si>
  <si>
    <t>1.18K</t>
  </si>
  <si>
    <t>900.63K</t>
  </si>
  <si>
    <t>0.51K</t>
  </si>
  <si>
    <t>711.93K</t>
  </si>
  <si>
    <t>784.76K</t>
  </si>
  <si>
    <t>465.03K</t>
  </si>
  <si>
    <t>0.47K</t>
  </si>
  <si>
    <t>512.48K</t>
  </si>
  <si>
    <t>0.74K</t>
  </si>
  <si>
    <t>0.36K</t>
  </si>
  <si>
    <t>819.75K</t>
  </si>
  <si>
    <t>0.35K</t>
  </si>
  <si>
    <t>0.27K</t>
  </si>
  <si>
    <t>0.80K</t>
  </si>
  <si>
    <t>533.92K</t>
  </si>
  <si>
    <t>0.62K</t>
  </si>
  <si>
    <t>819.40K</t>
  </si>
  <si>
    <t>992.95K</t>
  </si>
  <si>
    <t>1.28K</t>
  </si>
  <si>
    <t>1.05K</t>
  </si>
  <si>
    <t>677.30K</t>
  </si>
  <si>
    <t>0.34K</t>
  </si>
  <si>
    <t>1.66K</t>
  </si>
  <si>
    <t>2.39M</t>
  </si>
  <si>
    <t>0.28K</t>
  </si>
  <si>
    <t>1.96K</t>
  </si>
  <si>
    <t>598.37K</t>
  </si>
  <si>
    <t>643.13K</t>
  </si>
  <si>
    <t>946.55K</t>
  </si>
  <si>
    <t>0.99K</t>
  </si>
  <si>
    <t>0.66K</t>
  </si>
  <si>
    <t>0.52K</t>
  </si>
  <si>
    <t>572.37K</t>
  </si>
  <si>
    <t>0.49K</t>
  </si>
  <si>
    <t>0.59K</t>
  </si>
  <si>
    <t>721.75K</t>
  </si>
  <si>
    <t>909.70K</t>
  </si>
  <si>
    <t>0.55K</t>
  </si>
  <si>
    <t>3.63M</t>
  </si>
  <si>
    <t>926.61K</t>
  </si>
  <si>
    <t>0.71K</t>
  </si>
  <si>
    <t>0.41K</t>
  </si>
  <si>
    <t>1.26K</t>
  </si>
  <si>
    <t>813.92K</t>
  </si>
  <si>
    <t>1.23K</t>
  </si>
  <si>
    <t>4.82K</t>
  </si>
  <si>
    <t>1.22K</t>
  </si>
  <si>
    <t>1.14K</t>
  </si>
  <si>
    <t>0.67K</t>
  </si>
  <si>
    <t>2.90K</t>
  </si>
  <si>
    <t>0.92K</t>
  </si>
  <si>
    <t>0.94K</t>
  </si>
  <si>
    <t>2.64M</t>
  </si>
  <si>
    <t>1.89K</t>
  </si>
  <si>
    <t>2.07M</t>
  </si>
  <si>
    <t>2.64K</t>
  </si>
  <si>
    <t>1.99K</t>
  </si>
  <si>
    <t>3.86M</t>
  </si>
  <si>
    <t>4.53K</t>
  </si>
  <si>
    <t>19.21K</t>
  </si>
  <si>
    <t>11.26K</t>
  </si>
  <si>
    <t>18.10K</t>
  </si>
  <si>
    <t>19.72M</t>
  </si>
  <si>
    <t>1.09K</t>
  </si>
  <si>
    <t>1.31K</t>
  </si>
  <si>
    <t>3.13K</t>
  </si>
  <si>
    <t>2.35M</t>
  </si>
  <si>
    <t>1.57K</t>
  </si>
  <si>
    <t>918.15K</t>
  </si>
  <si>
    <t>1.32K</t>
  </si>
  <si>
    <t>0.19K</t>
  </si>
  <si>
    <t>0.89K</t>
  </si>
  <si>
    <t>3.21M</t>
  </si>
  <si>
    <t>0.48K</t>
  </si>
  <si>
    <t>3.94M</t>
  </si>
  <si>
    <t>0.96K</t>
  </si>
  <si>
    <t>1.85K</t>
  </si>
  <si>
    <t>2.56K</t>
  </si>
  <si>
    <t>2.27K</t>
  </si>
  <si>
    <t>1.04K</t>
  </si>
  <si>
    <t>0.53K</t>
  </si>
  <si>
    <t>994.03K</t>
  </si>
  <si>
    <t>1.44M</t>
  </si>
  <si>
    <t>2.38K</t>
  </si>
  <si>
    <t>4.48K</t>
  </si>
  <si>
    <t>0.54K</t>
  </si>
  <si>
    <t>3.18M</t>
  </si>
  <si>
    <t>0.83K</t>
  </si>
  <si>
    <t>0.97K</t>
  </si>
  <si>
    <t>3.23K</t>
  </si>
  <si>
    <t>2.56M</t>
  </si>
  <si>
    <t>1.41K</t>
  </si>
  <si>
    <t>1.82K</t>
  </si>
  <si>
    <t>11.60K</t>
  </si>
  <si>
    <t>1.64K</t>
  </si>
  <si>
    <t>2.87M</t>
  </si>
  <si>
    <t>1.52K</t>
  </si>
  <si>
    <t>5.53M</t>
  </si>
  <si>
    <t>1.27K</t>
  </si>
  <si>
    <t>3.33M</t>
  </si>
  <si>
    <t>8.08K</t>
  </si>
  <si>
    <t>7.74K</t>
  </si>
  <si>
    <t>4.28K</t>
  </si>
  <si>
    <t>4.42M</t>
  </si>
  <si>
    <t>0.73K</t>
  </si>
  <si>
    <t>4.10K</t>
  </si>
  <si>
    <t>3.19M</t>
  </si>
  <si>
    <t>0.87K</t>
  </si>
  <si>
    <t>1.86M</t>
  </si>
  <si>
    <t>4.39K</t>
  </si>
  <si>
    <t>2.52K</t>
  </si>
  <si>
    <t>1.08K</t>
  </si>
  <si>
    <t>4.48M</t>
  </si>
  <si>
    <t>1.63K</t>
  </si>
  <si>
    <t>11.90K</t>
  </si>
  <si>
    <t>4.21M</t>
  </si>
  <si>
    <t>1.29K</t>
  </si>
  <si>
    <t>1.04M</t>
  </si>
  <si>
    <t>4.25K</t>
  </si>
  <si>
    <t>2.14K</t>
  </si>
  <si>
    <t>2.11K</t>
  </si>
  <si>
    <t>566.56K</t>
  </si>
  <si>
    <t>0.40K</t>
  </si>
  <si>
    <t>939.17K</t>
  </si>
  <si>
    <t>668.02K</t>
  </si>
  <si>
    <t>871.40K</t>
  </si>
  <si>
    <t>1.01K</t>
  </si>
  <si>
    <t>2.01M</t>
  </si>
  <si>
    <t>1.89M</t>
  </si>
  <si>
    <t>1.98M</t>
  </si>
  <si>
    <t>1.61M</t>
  </si>
  <si>
    <t>1.46M</t>
  </si>
  <si>
    <t>819.54K</t>
  </si>
  <si>
    <t>1.71K</t>
  </si>
  <si>
    <t>823.24K</t>
  </si>
  <si>
    <t>3.15M</t>
  </si>
  <si>
    <t>2.80M</t>
  </si>
  <si>
    <t>2.11M</t>
  </si>
  <si>
    <t>1.73M</t>
  </si>
  <si>
    <t>2.50M</t>
  </si>
  <si>
    <t>1.17K</t>
  </si>
  <si>
    <t>2.37M</t>
  </si>
  <si>
    <t>1.38M</t>
  </si>
  <si>
    <t>1.77M</t>
  </si>
  <si>
    <t>776.62K</t>
  </si>
  <si>
    <t>793.86K</t>
  </si>
  <si>
    <t>909.40K</t>
  </si>
  <si>
    <t>628.97K</t>
  </si>
  <si>
    <t>709.44K</t>
  </si>
  <si>
    <t>775.62K</t>
  </si>
  <si>
    <t>743.67K</t>
  </si>
  <si>
    <t>524.94K</t>
  </si>
  <si>
    <t>449.54K</t>
  </si>
  <si>
    <t>948.65K</t>
  </si>
  <si>
    <t>668.16K</t>
  </si>
  <si>
    <t>996.60K</t>
  </si>
  <si>
    <t>1.66M</t>
  </si>
  <si>
    <t>962.74K</t>
  </si>
  <si>
    <t>1.32M</t>
  </si>
  <si>
    <t>2.25M</t>
  </si>
  <si>
    <t>2.60M</t>
  </si>
  <si>
    <t>544.83K</t>
  </si>
  <si>
    <t>445.23K</t>
  </si>
  <si>
    <t>573.46K</t>
  </si>
  <si>
    <t>1.59M</t>
  </si>
  <si>
    <t>562.97K</t>
  </si>
  <si>
    <t>739.64K</t>
  </si>
  <si>
    <t>686.42K</t>
  </si>
  <si>
    <t>895.31K</t>
  </si>
  <si>
    <t>642.10K</t>
  </si>
  <si>
    <t>332.98K</t>
  </si>
  <si>
    <t>551.70K</t>
  </si>
  <si>
    <t>467.35K</t>
  </si>
  <si>
    <t>421.54K</t>
  </si>
  <si>
    <t>546.75K</t>
  </si>
  <si>
    <t>439.65K</t>
  </si>
  <si>
    <t>938.05K</t>
  </si>
  <si>
    <t>904.74K</t>
  </si>
  <si>
    <t>978.69K</t>
  </si>
  <si>
    <t>982.52K</t>
  </si>
  <si>
    <t>783.91K</t>
  </si>
  <si>
    <t>841.78K</t>
  </si>
  <si>
    <t>982.48K</t>
  </si>
  <si>
    <t>849.38K</t>
  </si>
  <si>
    <t>861.53K</t>
  </si>
  <si>
    <t>742.17K</t>
  </si>
  <si>
    <t>696.08K</t>
  </si>
  <si>
    <t>640.60K</t>
  </si>
  <si>
    <t>702.33K</t>
  </si>
  <si>
    <t>724.11K</t>
  </si>
  <si>
    <t>567.81K</t>
  </si>
  <si>
    <t>537.69K</t>
  </si>
  <si>
    <t>596.16K</t>
  </si>
  <si>
    <t>469.03K</t>
  </si>
  <si>
    <t>539.29K</t>
  </si>
  <si>
    <t>524.67K</t>
  </si>
  <si>
    <t>598.23K</t>
  </si>
  <si>
    <t>370.19K</t>
  </si>
  <si>
    <t>334.18K</t>
  </si>
  <si>
    <t>577.24K</t>
  </si>
  <si>
    <t>681.70K</t>
  </si>
  <si>
    <t>471.14K</t>
  </si>
  <si>
    <t>471.01K</t>
  </si>
  <si>
    <t>434.02K</t>
  </si>
  <si>
    <t>441.27K</t>
  </si>
  <si>
    <t>398.68K</t>
  </si>
  <si>
    <t>546.89K</t>
  </si>
  <si>
    <t>563.67K</t>
  </si>
  <si>
    <t>748.26K</t>
  </si>
  <si>
    <t>652.31K</t>
  </si>
  <si>
    <t>509.37K</t>
  </si>
  <si>
    <t>522.73K</t>
  </si>
  <si>
    <t>371.22K</t>
  </si>
  <si>
    <t>416.54K</t>
  </si>
  <si>
    <t>509.08K</t>
  </si>
  <si>
    <t>407.27K</t>
  </si>
  <si>
    <t>657.67K</t>
  </si>
  <si>
    <t>364.18K</t>
  </si>
  <si>
    <t>770.52K</t>
  </si>
  <si>
    <t>390.58K</t>
  </si>
  <si>
    <t>257.03K</t>
  </si>
  <si>
    <t>488.21K</t>
  </si>
  <si>
    <t>447.29K</t>
  </si>
  <si>
    <t>387.73K</t>
  </si>
  <si>
    <t>428.66K</t>
  </si>
  <si>
    <t>439.33K</t>
  </si>
  <si>
    <t>447.65K</t>
  </si>
  <si>
    <t>615.17K</t>
  </si>
  <si>
    <t>713.71K</t>
  </si>
  <si>
    <t>597.02K</t>
  </si>
  <si>
    <t>537.20K</t>
  </si>
  <si>
    <t>609.09K</t>
  </si>
  <si>
    <t>777.34K</t>
  </si>
  <si>
    <t>755.84K</t>
  </si>
  <si>
    <t>458.27K</t>
  </si>
  <si>
    <t>377.91K</t>
  </si>
  <si>
    <t>379.95K</t>
  </si>
  <si>
    <t>456.76K</t>
  </si>
  <si>
    <t>496.04K</t>
  </si>
  <si>
    <t>505.03K</t>
  </si>
  <si>
    <t>383.70K</t>
  </si>
  <si>
    <t>405.75K</t>
  </si>
  <si>
    <t>364.66K</t>
  </si>
  <si>
    <t>766.18K</t>
  </si>
  <si>
    <t>538.60K</t>
  </si>
  <si>
    <t>391.38K</t>
  </si>
  <si>
    <t>252.71K</t>
  </si>
  <si>
    <t>384.08K</t>
  </si>
  <si>
    <t>529.57K</t>
  </si>
  <si>
    <t>479.78K</t>
  </si>
  <si>
    <t>241.85K</t>
  </si>
  <si>
    <t>351.61K</t>
  </si>
  <si>
    <t>565.89K</t>
  </si>
  <si>
    <t>333.96K</t>
  </si>
  <si>
    <t>344.79K</t>
  </si>
  <si>
    <t>512.31K</t>
  </si>
  <si>
    <t>677.53K</t>
  </si>
  <si>
    <t>762.23K</t>
  </si>
  <si>
    <t>728.19K</t>
  </si>
  <si>
    <t>597.90K</t>
  </si>
  <si>
    <t>487.85K</t>
  </si>
  <si>
    <t>320.63K</t>
  </si>
  <si>
    <t>464.01K</t>
  </si>
  <si>
    <t>393.68K</t>
  </si>
  <si>
    <t>613.07K</t>
  </si>
  <si>
    <t>418.40K</t>
  </si>
  <si>
    <t>606.14K</t>
  </si>
  <si>
    <t>363.11K</t>
  </si>
  <si>
    <t>345.39K</t>
  </si>
  <si>
    <t>375.47K</t>
  </si>
  <si>
    <t>902.01K</t>
  </si>
  <si>
    <t>279.65K</t>
  </si>
  <si>
    <t>549.23K</t>
  </si>
  <si>
    <t>566.98K</t>
  </si>
  <si>
    <t>435.20K</t>
  </si>
  <si>
    <t>338.35K</t>
  </si>
  <si>
    <t>338.12K</t>
  </si>
  <si>
    <t>305.63K</t>
  </si>
  <si>
    <t>582.35K</t>
  </si>
  <si>
    <t>444.55K</t>
  </si>
  <si>
    <t>328.31K</t>
  </si>
  <si>
    <t>273.93K</t>
  </si>
  <si>
    <t>343.05K</t>
  </si>
  <si>
    <t>239.18K</t>
  </si>
  <si>
    <t>294.73K</t>
  </si>
  <si>
    <t>287.87K</t>
  </si>
  <si>
    <t>291.57K</t>
  </si>
  <si>
    <t>259.55K</t>
  </si>
  <si>
    <t>301.58K</t>
  </si>
  <si>
    <t>222.60K</t>
  </si>
  <si>
    <t>228.45K</t>
  </si>
  <si>
    <t>339.75K</t>
  </si>
  <si>
    <t>906.13K</t>
  </si>
  <si>
    <t>535.71K</t>
  </si>
  <si>
    <t>361.91K</t>
  </si>
  <si>
    <t>463.61K</t>
  </si>
  <si>
    <t>460.45K</t>
  </si>
  <si>
    <t>606.07K</t>
  </si>
  <si>
    <t>570.72K</t>
  </si>
  <si>
    <t>650.22K</t>
  </si>
  <si>
    <t>924.60K</t>
  </si>
  <si>
    <t>495.62K</t>
  </si>
  <si>
    <t>635.20K</t>
  </si>
  <si>
    <t>716.35K</t>
  </si>
  <si>
    <t>479.71K</t>
  </si>
  <si>
    <t>621.31K</t>
  </si>
  <si>
    <t>368.70K</t>
  </si>
  <si>
    <t>733.38K</t>
  </si>
  <si>
    <t>709.35K</t>
  </si>
  <si>
    <t>297.56K</t>
  </si>
  <si>
    <t>457.25K</t>
  </si>
  <si>
    <t>442.31K</t>
  </si>
  <si>
    <t>383.80K</t>
  </si>
  <si>
    <t>544.25K</t>
  </si>
  <si>
    <t>803.91K</t>
  </si>
  <si>
    <t>424.05K</t>
  </si>
  <si>
    <t>544.67K</t>
  </si>
  <si>
    <t>430.75K</t>
  </si>
  <si>
    <t>429.66K</t>
  </si>
  <si>
    <t>575.89K</t>
  </si>
  <si>
    <t>587.56K</t>
  </si>
  <si>
    <t>538.44K</t>
  </si>
  <si>
    <t>550.76K</t>
  </si>
  <si>
    <t>480.16K</t>
  </si>
  <si>
    <t>231.07K</t>
  </si>
  <si>
    <t>335.42K</t>
  </si>
  <si>
    <t>535.57K</t>
  </si>
  <si>
    <t>733.53K</t>
  </si>
  <si>
    <t>222.55K</t>
  </si>
  <si>
    <t>286.48K</t>
  </si>
  <si>
    <t>548.77K</t>
  </si>
  <si>
    <t>349.26K</t>
  </si>
  <si>
    <t>274.93K</t>
  </si>
  <si>
    <t>455.08K</t>
  </si>
  <si>
    <t>468.52K</t>
  </si>
  <si>
    <t>464.56K</t>
  </si>
  <si>
    <t>651.23K</t>
  </si>
  <si>
    <t>374.13K</t>
  </si>
  <si>
    <t>264.65K</t>
  </si>
  <si>
    <t>432.84K</t>
  </si>
  <si>
    <t>303.40K</t>
  </si>
  <si>
    <t>236.18K</t>
  </si>
  <si>
    <t>462.91K</t>
  </si>
  <si>
    <t>414.10K</t>
  </si>
  <si>
    <t>485.68K</t>
  </si>
  <si>
    <t>321.36K</t>
  </si>
  <si>
    <t>316.07K</t>
  </si>
  <si>
    <t>303.88K</t>
  </si>
  <si>
    <t>383.26K</t>
  </si>
  <si>
    <t>739.47K</t>
  </si>
  <si>
    <t>797.48K</t>
  </si>
  <si>
    <t>616.23K</t>
  </si>
  <si>
    <t>281.39K</t>
  </si>
  <si>
    <t>467.05K</t>
  </si>
  <si>
    <t>791.37K</t>
  </si>
  <si>
    <t>599.12K</t>
  </si>
  <si>
    <t>428.58K</t>
  </si>
  <si>
    <t>916.71K</t>
  </si>
  <si>
    <t>945.59K</t>
  </si>
  <si>
    <t>777.50K</t>
  </si>
  <si>
    <t>313.82K</t>
  </si>
  <si>
    <t>353.42K</t>
  </si>
  <si>
    <t>588.44K</t>
  </si>
  <si>
    <t>734.34K</t>
  </si>
  <si>
    <t>469.06K</t>
  </si>
  <si>
    <t>556.50K</t>
  </si>
  <si>
    <t>445.95K</t>
  </si>
  <si>
    <t>619.40K</t>
  </si>
  <si>
    <t>442.74K</t>
  </si>
  <si>
    <t>425.73K</t>
  </si>
  <si>
    <t>364.68K</t>
  </si>
  <si>
    <t>528.10K</t>
  </si>
  <si>
    <t>391.59K</t>
  </si>
  <si>
    <t>509.45K</t>
  </si>
  <si>
    <t>404.00K</t>
  </si>
  <si>
    <t>445.08K</t>
  </si>
  <si>
    <t>540.81K</t>
  </si>
  <si>
    <t>Days Sale Outstanding</t>
  </si>
  <si>
    <t>Days Inventory Outstanding</t>
  </si>
  <si>
    <t>Days Payable Outstanding</t>
  </si>
  <si>
    <t>Revenue</t>
  </si>
  <si>
    <t>Cost of Sales</t>
  </si>
  <si>
    <t>Depreciation/Amortisation</t>
  </si>
  <si>
    <t>Capital Expenditure</t>
  </si>
  <si>
    <t>EBIT</t>
  </si>
  <si>
    <t>After-Tax Cost of Debt</t>
  </si>
  <si>
    <t>Before-Tax Cost of Debt (Interest Expense/Total Debt)</t>
  </si>
  <si>
    <t>Corporate Tax Rate (Business Korea 2020 and rest are from FinBox)</t>
  </si>
  <si>
    <t>D/V Ratio</t>
  </si>
  <si>
    <t>E/V Ratio</t>
  </si>
  <si>
    <t>Beta (Value Investing)</t>
  </si>
  <si>
    <t>WACC</t>
  </si>
  <si>
    <t xml:space="preserve">Cost of Equity </t>
  </si>
  <si>
    <t xml:space="preserve">Risk Free Rate </t>
  </si>
  <si>
    <t>Terminal Value</t>
  </si>
  <si>
    <t>% Growth of Revenue</t>
  </si>
  <si>
    <t>Cash Flow Statement</t>
  </si>
  <si>
    <t>ASSETS</t>
  </si>
  <si>
    <t>LIABILITY</t>
  </si>
  <si>
    <t>CHANGE IN NWC</t>
  </si>
  <si>
    <t>NET WORKING CAPITAL (NWC)</t>
  </si>
  <si>
    <t>Components in DCF</t>
  </si>
  <si>
    <t>EBIT After Tax (EBIAT)</t>
  </si>
  <si>
    <t>EBIT Margin (%)</t>
  </si>
  <si>
    <t>% of Sales</t>
  </si>
  <si>
    <t>+ Depreciation/Amortisation</t>
  </si>
  <si>
    <t>Unlevered FCF</t>
  </si>
  <si>
    <t>X</t>
  </si>
  <si>
    <t>-Capital Expenditure</t>
  </si>
  <si>
    <t>-Change in NWC</t>
  </si>
  <si>
    <t>Mean % Growth of Revenue</t>
  </si>
  <si>
    <t>Standard Deviation of % Growth of Revenue</t>
  </si>
  <si>
    <t>% Growth of EBIT</t>
  </si>
  <si>
    <t>Mean % Growth of EBIT</t>
  </si>
  <si>
    <t>Standard Deviation of % Growth of EBIT</t>
  </si>
  <si>
    <t>Tax Rate (Assume Tax Rate is Constant from 2026)</t>
  </si>
  <si>
    <t>YEARS</t>
  </si>
  <si>
    <t>RATIOS</t>
  </si>
  <si>
    <t>Total Value (V)</t>
  </si>
  <si>
    <t>Total Debt (D)</t>
  </si>
  <si>
    <t>Total Equity E</t>
  </si>
  <si>
    <t>Costs of Debt/Equity</t>
  </si>
  <si>
    <t>COST OF DEBT</t>
  </si>
  <si>
    <t>Market Risk Premium (Alphaspread and assume it's constant)</t>
  </si>
  <si>
    <t>ASSUMPTIONS</t>
  </si>
  <si>
    <t>Growth Rate (Terminal) [Trading Economics]</t>
  </si>
  <si>
    <t>Growth of Depreciation/Amortisation (%)</t>
  </si>
  <si>
    <t>Average Growth (Assume constant Geometric Growth)</t>
  </si>
  <si>
    <t>% Growth of Cost of Sales</t>
  </si>
  <si>
    <t>Mean % Growth of Cost of Sales</t>
  </si>
  <si>
    <t>Standard Deviation of % Growth of Cost of Sales</t>
  </si>
  <si>
    <t>Other Current Assets (Revenue * Last 3 yrs OCA/Revenue)</t>
  </si>
  <si>
    <t>Other Payables (Taken average of 3 years)</t>
  </si>
  <si>
    <t>Other Operating Current Liabilities (3 Year avg of OOCL / 3 Yr of avg of Rev)*Forecast Rev</t>
  </si>
  <si>
    <t>Accounts Payable (DPO/COS)*365</t>
  </si>
  <si>
    <t>Trade Notes/Accounts Receivables (Rev/DSO*365)</t>
  </si>
  <si>
    <t>Inventory (COS/DIO*365)</t>
  </si>
  <si>
    <t>Normally Distributed Random Variable of Forecasted Revenue</t>
  </si>
  <si>
    <t>Normally Distributed Random Variable of Forecasted Cost of Sales</t>
  </si>
  <si>
    <t>YEAR (2020 Onwards)</t>
  </si>
  <si>
    <t>Present Value of Terminal Value (Y10)</t>
  </si>
  <si>
    <t>Firm (Enterprise) Value</t>
  </si>
  <si>
    <t>Cash</t>
  </si>
  <si>
    <t>Debt (Current Portion of Long term debt/debenture + Long term debt)</t>
  </si>
  <si>
    <t>Firm Value</t>
  </si>
  <si>
    <t># of Shares Issued (Hyundai Shareholder Structure)</t>
  </si>
  <si>
    <t>WACC From Alphaspread</t>
  </si>
  <si>
    <t>Personal</t>
  </si>
  <si>
    <t>Alphaspread</t>
  </si>
  <si>
    <t>EBIT (3 Year Avg)</t>
  </si>
  <si>
    <t>Present Value of FCF (Personal Rate)</t>
  </si>
  <si>
    <t>Present Value of FCF (Alphaspread Rate)</t>
  </si>
  <si>
    <t xml:space="preserve">Hyundai Motor Stock Price History </t>
  </si>
  <si>
    <t>Forecasted Share Price</t>
  </si>
  <si>
    <t>Share Price at 25/08</t>
  </si>
  <si>
    <t xml:space="preserve">% Differences in Price </t>
  </si>
  <si>
    <t>TRIALS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</si>
</sst>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#,##0;\-#,##0"/>
    <numFmt numFmtId="165" formatCode="#,##0.0;\-#,##0.0"/>
    <numFmt numFmtId="176" formatCode="#,##0.0000"/>
  </numFmts>
  <fonts count="16" x14ac:knownFonts="1">
    <font>
      <sz val="10"/>
      <name val="Arial"/>
    </font>
    <font>
      <sz val="10"/>
      <name val="Arial"/>
      <family val="2"/>
    </font>
    <font>
      <b/>
      <sz val="12"/>
      <color indexed="55"/>
      <name val="Calibri"/>
      <family val="2"/>
    </font>
    <font>
      <b/>
      <sz val="12"/>
      <color indexed="55"/>
      <name val="Calibri"/>
      <family val="2"/>
    </font>
    <font>
      <b/>
      <sz val="17"/>
      <color indexed="55"/>
      <name val="Calibri"/>
      <family val="2"/>
    </font>
    <font>
      <sz val="10"/>
      <color indexed="55"/>
      <name val="Calibri"/>
      <family val="2"/>
    </font>
    <font>
      <b/>
      <i/>
      <sz val="11"/>
      <color indexed="55"/>
      <name val="Calibri"/>
      <family val="2"/>
    </font>
    <font>
      <i/>
      <sz val="9"/>
      <color indexed="55"/>
      <name val="Calibri"/>
      <family val="2"/>
    </font>
    <font>
      <b/>
      <sz val="10"/>
      <name val="Arial"/>
      <family val="2"/>
    </font>
    <font>
      <sz val="10"/>
      <name val="Century"/>
      <family val="1"/>
    </font>
    <font>
      <b/>
      <sz val="10"/>
      <name val="Century"/>
      <family val="1"/>
    </font>
    <font>
      <sz val="10"/>
      <color theme="0"/>
      <name val="Century"/>
      <family val="1"/>
    </font>
    <font>
      <sz val="10"/>
      <color indexed="55"/>
      <name val="Century"/>
      <family val="1"/>
    </font>
    <font>
      <b/>
      <sz val="25"/>
      <color theme="0"/>
      <name val="Century"/>
      <family val="1"/>
    </font>
    <font>
      <b/>
      <sz val="10"/>
      <color theme="0"/>
      <name val="Century"/>
      <family val="1"/>
    </font>
    <font>
      <b/>
      <i/>
      <u/>
      <sz val="10"/>
      <name val="Century"/>
      <family val="1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-0.249977111117893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ck">
        <color indexed="64"/>
      </left>
      <right/>
      <top/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7">
    <xf numFmtId="0" fontId="0" fillId="0" borderId="0" xfId="0"/>
    <xf numFmtId="0" fontId="0" fillId="0" borderId="1" xfId="0" applyBorder="1"/>
    <xf numFmtId="0" fontId="0" fillId="0" borderId="2" xfId="0" applyBorder="1"/>
    <xf numFmtId="0" fontId="7" fillId="0" borderId="3" xfId="0" applyFont="1" applyBorder="1" applyAlignment="1">
      <alignment horizontal="left" vertical="top"/>
    </xf>
    <xf numFmtId="0" fontId="7" fillId="0" borderId="0" xfId="0" applyFont="1" applyAlignment="1">
      <alignment horizontal="left" vertical="top"/>
    </xf>
    <xf numFmtId="0" fontId="5" fillId="0" borderId="0" xfId="0" applyFont="1" applyAlignment="1">
      <alignment horizontal="right" vertical="top"/>
    </xf>
    <xf numFmtId="0" fontId="2" fillId="2" borderId="4" xfId="0" applyFont="1" applyFill="1" applyBorder="1" applyAlignment="1">
      <alignment horizontal="left" vertical="top" wrapText="1" indent="1"/>
    </xf>
    <xf numFmtId="49" fontId="3" fillId="2" borderId="4" xfId="0" applyNumberFormat="1" applyFont="1" applyFill="1" applyBorder="1" applyAlignment="1">
      <alignment horizontal="right" vertical="top" indent="1"/>
    </xf>
    <xf numFmtId="49" fontId="4" fillId="0" borderId="0" xfId="0" applyNumberFormat="1" applyFont="1" applyAlignment="1">
      <alignment horizontal="left" vertical="top"/>
    </xf>
    <xf numFmtId="49" fontId="5" fillId="0" borderId="0" xfId="0" applyNumberFormat="1" applyFont="1" applyAlignment="1">
      <alignment horizontal="left" vertical="top" wrapText="1" indent="1"/>
    </xf>
    <xf numFmtId="49" fontId="5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top"/>
    </xf>
    <xf numFmtId="164" fontId="5" fillId="0" borderId="0" xfId="0" applyNumberFormat="1" applyFont="1" applyAlignment="1">
      <alignment horizontal="right" vertical="top" indent="1"/>
    </xf>
    <xf numFmtId="165" fontId="5" fillId="0" borderId="0" xfId="0" applyNumberFormat="1" applyFont="1" applyAlignment="1">
      <alignment horizontal="right" vertical="top" indent="1"/>
    </xf>
    <xf numFmtId="3" fontId="0" fillId="0" borderId="0" xfId="0" applyNumberFormat="1"/>
    <xf numFmtId="10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/>
    <xf numFmtId="44" fontId="0" fillId="0" borderId="0" xfId="1" applyFont="1"/>
    <xf numFmtId="0" fontId="9" fillId="0" borderId="0" xfId="0" applyFont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44" fontId="9" fillId="0" borderId="0" xfId="0" applyNumberFormat="1" applyFont="1" applyAlignment="1">
      <alignment horizontal="center"/>
    </xf>
    <xf numFmtId="44" fontId="9" fillId="0" borderId="0" xfId="1" applyFont="1" applyAlignment="1">
      <alignment horizontal="center"/>
    </xf>
    <xf numFmtId="0" fontId="11" fillId="3" borderId="0" xfId="0" applyFont="1" applyFill="1" applyAlignment="1">
      <alignment horizontal="center"/>
    </xf>
    <xf numFmtId="0" fontId="10" fillId="0" borderId="0" xfId="0" applyFont="1"/>
    <xf numFmtId="3" fontId="9" fillId="0" borderId="0" xfId="0" applyNumberFormat="1" applyFont="1"/>
    <xf numFmtId="44" fontId="9" fillId="0" borderId="0" xfId="1" applyFont="1"/>
    <xf numFmtId="44" fontId="0" fillId="0" borderId="0" xfId="1" applyFont="1" applyAlignment="1">
      <alignment horizontal="center"/>
    </xf>
    <xf numFmtId="0" fontId="9" fillId="0" borderId="0" xfId="0" quotePrefix="1" applyFont="1" applyAlignment="1">
      <alignment horizontal="center"/>
    </xf>
    <xf numFmtId="0" fontId="11" fillId="3" borderId="5" xfId="0" applyFont="1" applyFill="1" applyBorder="1" applyAlignment="1">
      <alignment horizontal="center"/>
    </xf>
    <xf numFmtId="0" fontId="11" fillId="3" borderId="0" xfId="0" applyFont="1" applyFill="1" applyBorder="1" applyAlignment="1">
      <alignment horizontal="center"/>
    </xf>
    <xf numFmtId="44" fontId="9" fillId="0" borderId="0" xfId="1" applyFont="1" applyBorder="1" applyAlignment="1">
      <alignment horizontal="center"/>
    </xf>
    <xf numFmtId="44" fontId="12" fillId="0" borderId="0" xfId="1" applyFont="1" applyAlignment="1">
      <alignment horizontal="center" vertical="top"/>
    </xf>
    <xf numFmtId="0" fontId="13" fillId="3" borderId="0" xfId="0" applyFont="1" applyFill="1" applyAlignment="1">
      <alignment horizontal="center" vertical="center"/>
    </xf>
    <xf numFmtId="0" fontId="11" fillId="4" borderId="0" xfId="0" applyFont="1" applyFill="1"/>
    <xf numFmtId="0" fontId="11" fillId="4" borderId="0" xfId="0" applyFont="1" applyFill="1" applyAlignment="1">
      <alignment horizontal="center"/>
    </xf>
    <xf numFmtId="0" fontId="11" fillId="0" borderId="0" xfId="0" applyFont="1" applyFill="1"/>
    <xf numFmtId="0" fontId="11" fillId="0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1" fillId="5" borderId="0" xfId="0" applyFont="1" applyFill="1"/>
    <xf numFmtId="0" fontId="14" fillId="5" borderId="0" xfId="0" applyFont="1" applyFill="1"/>
    <xf numFmtId="2" fontId="10" fillId="0" borderId="0" xfId="2" applyNumberFormat="1" applyFont="1"/>
    <xf numFmtId="0" fontId="9" fillId="0" borderId="6" xfId="0" applyFont="1" applyBorder="1"/>
    <xf numFmtId="44" fontId="9" fillId="0" borderId="6" xfId="1" applyFont="1" applyBorder="1"/>
    <xf numFmtId="176" fontId="9" fillId="0" borderId="0" xfId="0" applyNumberFormat="1" applyFont="1"/>
    <xf numFmtId="0" fontId="14" fillId="0" borderId="0" xfId="0" applyFont="1" applyFill="1"/>
    <xf numFmtId="0" fontId="14" fillId="6" borderId="0" xfId="0" applyFont="1" applyFill="1"/>
    <xf numFmtId="0" fontId="11" fillId="6" borderId="0" xfId="0" applyFont="1" applyFill="1"/>
    <xf numFmtId="0" fontId="14" fillId="7" borderId="0" xfId="0" applyFont="1" applyFill="1"/>
    <xf numFmtId="176" fontId="14" fillId="7" borderId="0" xfId="0" applyNumberFormat="1" applyFont="1" applyFill="1"/>
    <xf numFmtId="0" fontId="14" fillId="8" borderId="0" xfId="0" applyFont="1" applyFill="1"/>
    <xf numFmtId="10" fontId="11" fillId="8" borderId="0" xfId="2" applyNumberFormat="1" applyFont="1" applyFill="1"/>
    <xf numFmtId="0" fontId="9" fillId="9" borderId="0" xfId="0" applyFont="1" applyFill="1" applyAlignment="1">
      <alignment horizontal="center"/>
    </xf>
    <xf numFmtId="0" fontId="11" fillId="8" borderId="0" xfId="0" applyFont="1" applyFill="1" applyAlignment="1">
      <alignment horizontal="center"/>
    </xf>
    <xf numFmtId="0" fontId="9" fillId="10" borderId="0" xfId="0" applyFont="1" applyFill="1" applyAlignment="1">
      <alignment horizontal="center"/>
    </xf>
    <xf numFmtId="9" fontId="9" fillId="0" borderId="0" xfId="2" applyFont="1" applyAlignment="1">
      <alignment horizontal="center"/>
    </xf>
    <xf numFmtId="0" fontId="8" fillId="0" borderId="0" xfId="0" applyFont="1" applyAlignment="1">
      <alignment horizontal="center"/>
    </xf>
    <xf numFmtId="2" fontId="9" fillId="0" borderId="0" xfId="0" applyNumberFormat="1" applyFont="1" applyAlignment="1">
      <alignment horizontal="center"/>
    </xf>
    <xf numFmtId="9" fontId="9" fillId="0" borderId="5" xfId="2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44" fontId="9" fillId="0" borderId="6" xfId="0" applyNumberFormat="1" applyFont="1" applyBorder="1" applyAlignment="1">
      <alignment horizontal="center"/>
    </xf>
    <xf numFmtId="44" fontId="9" fillId="0" borderId="6" xfId="1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15" fillId="0" borderId="6" xfId="0" applyFont="1" applyBorder="1" applyAlignment="1">
      <alignment horizontal="center"/>
    </xf>
    <xf numFmtId="10" fontId="11" fillId="0" borderId="0" xfId="2" applyNumberFormat="1" applyFont="1" applyFill="1"/>
    <xf numFmtId="0" fontId="11" fillId="11" borderId="0" xfId="0" applyFont="1" applyFill="1"/>
    <xf numFmtId="10" fontId="11" fillId="11" borderId="0" xfId="2" applyNumberFormat="1" applyFont="1" applyFill="1"/>
    <xf numFmtId="0" fontId="9" fillId="0" borderId="0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44" fontId="9" fillId="0" borderId="5" xfId="0" applyNumberFormat="1" applyFont="1" applyBorder="1" applyAlignment="1">
      <alignment horizontal="center"/>
    </xf>
    <xf numFmtId="44" fontId="9" fillId="0" borderId="7" xfId="0" applyNumberFormat="1" applyFont="1" applyBorder="1" applyAlignment="1">
      <alignment horizontal="center"/>
    </xf>
    <xf numFmtId="2" fontId="9" fillId="0" borderId="5" xfId="0" applyNumberFormat="1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9" fontId="9" fillId="0" borderId="0" xfId="2" applyFont="1" applyBorder="1" applyAlignment="1">
      <alignment horizontal="center"/>
    </xf>
    <xf numFmtId="9" fontId="9" fillId="0" borderId="0" xfId="0" applyNumberFormat="1" applyFont="1" applyAlignment="1">
      <alignment horizontal="center"/>
    </xf>
    <xf numFmtId="9" fontId="9" fillId="0" borderId="0" xfId="0" applyNumberFormat="1" applyFont="1" applyBorder="1" applyAlignment="1">
      <alignment horizontal="center"/>
    </xf>
    <xf numFmtId="9" fontId="9" fillId="0" borderId="5" xfId="0" applyNumberFormat="1" applyFont="1" applyBorder="1" applyAlignment="1">
      <alignment horizontal="center"/>
    </xf>
    <xf numFmtId="9" fontId="12" fillId="0" borderId="0" xfId="2" applyFont="1" applyAlignment="1">
      <alignment horizontal="center" vertical="top"/>
    </xf>
    <xf numFmtId="9" fontId="12" fillId="0" borderId="0" xfId="1" applyNumberFormat="1" applyFont="1" applyAlignment="1">
      <alignment horizontal="center" vertical="top"/>
    </xf>
    <xf numFmtId="9" fontId="12" fillId="0" borderId="5" xfId="1" applyNumberFormat="1" applyFont="1" applyBorder="1" applyAlignment="1">
      <alignment horizontal="center" vertical="top"/>
    </xf>
    <xf numFmtId="9" fontId="12" fillId="0" borderId="5" xfId="2" applyFont="1" applyBorder="1" applyAlignment="1">
      <alignment horizontal="center" vertical="top"/>
    </xf>
    <xf numFmtId="0" fontId="9" fillId="9" borderId="5" xfId="0" applyFont="1" applyFill="1" applyBorder="1" applyAlignment="1">
      <alignment horizontal="center"/>
    </xf>
    <xf numFmtId="10" fontId="9" fillId="10" borderId="0" xfId="0" applyNumberFormat="1" applyFont="1" applyFill="1" applyAlignment="1">
      <alignment horizontal="center"/>
    </xf>
    <xf numFmtId="9" fontId="9" fillId="10" borderId="0" xfId="0" applyNumberFormat="1" applyFont="1" applyFill="1" applyAlignment="1">
      <alignment horizontal="center"/>
    </xf>
    <xf numFmtId="3" fontId="9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2BF7F-E7F6-46B5-A801-2A698975C0BD}">
  <sheetPr>
    <outlinePr summaryBelow="0" summaryRight="0"/>
    <pageSetUpPr autoPageBreaks="0" fitToPage="1"/>
  </sheetPr>
  <dimension ref="A2:L68"/>
  <sheetViews>
    <sheetView showGridLines="0" topLeftCell="A2" zoomScale="145" zoomScaleNormal="145" workbookViewId="0">
      <selection activeCell="B22" sqref="B22"/>
    </sheetView>
  </sheetViews>
  <sheetFormatPr baseColWidth="10" defaultColWidth="8.83203125" defaultRowHeight="13" x14ac:dyDescent="0.15"/>
  <cols>
    <col min="1" max="1" width="3.5" customWidth="1"/>
    <col min="2" max="2" width="85" bestFit="1" customWidth="1"/>
    <col min="3" max="3" width="11" bestFit="1" customWidth="1"/>
    <col min="4" max="10" width="12.5" bestFit="1" customWidth="1"/>
    <col min="11" max="11" width="23.83203125" bestFit="1" customWidth="1"/>
  </cols>
  <sheetData>
    <row r="2" spans="1:12" ht="23" x14ac:dyDescent="0.15">
      <c r="B2" s="8" t="s">
        <v>0</v>
      </c>
    </row>
    <row r="4" spans="1:12" ht="17" x14ac:dyDescent="0.15">
      <c r="A4" s="1"/>
      <c r="B4" s="6" t="s">
        <v>1</v>
      </c>
      <c r="C4" s="7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7" t="s">
        <v>7</v>
      </c>
      <c r="I4" s="7" t="s">
        <v>8</v>
      </c>
      <c r="J4" s="7" t="s">
        <v>9</v>
      </c>
      <c r="K4" s="7" t="s">
        <v>10</v>
      </c>
      <c r="L4" s="2"/>
    </row>
    <row r="5" spans="1:12" ht="15" x14ac:dyDescent="0.15">
      <c r="A5" s="1"/>
      <c r="B5" s="9" t="s">
        <v>11</v>
      </c>
      <c r="C5" s="10" t="s">
        <v>12</v>
      </c>
      <c r="D5" s="12">
        <v>73008101</v>
      </c>
      <c r="E5" s="12">
        <v>76082873</v>
      </c>
      <c r="F5" s="12">
        <v>83686357</v>
      </c>
      <c r="G5" s="12">
        <v>88565366</v>
      </c>
      <c r="H5" s="12">
        <v>96389273</v>
      </c>
      <c r="I5" s="12">
        <v>101724717</v>
      </c>
      <c r="J5" s="12">
        <v>115764287</v>
      </c>
      <c r="K5" s="12">
        <v>120777363</v>
      </c>
      <c r="L5" s="2"/>
    </row>
    <row r="6" spans="1:12" ht="15" x14ac:dyDescent="0.15">
      <c r="A6" s="1"/>
      <c r="B6" s="9" t="s">
        <v>13</v>
      </c>
      <c r="C6" s="10" t="s">
        <v>12</v>
      </c>
      <c r="D6" s="12">
        <v>107647651</v>
      </c>
      <c r="E6" s="12">
        <v>118429347</v>
      </c>
      <c r="F6" s="12">
        <v>125657855</v>
      </c>
      <c r="G6" s="12">
        <v>145381049</v>
      </c>
      <c r="H6" s="12">
        <v>159353189</v>
      </c>
      <c r="I6" s="12">
        <v>180738638</v>
      </c>
      <c r="J6" s="12">
        <v>224034142</v>
      </c>
      <c r="K6" s="12">
        <v>248067486</v>
      </c>
      <c r="L6" s="2"/>
    </row>
    <row r="7" spans="1:12" ht="15" x14ac:dyDescent="0.15">
      <c r="A7" s="1"/>
      <c r="B7" s="9" t="s">
        <v>14</v>
      </c>
      <c r="C7" s="10" t="s">
        <v>12</v>
      </c>
      <c r="D7" s="12">
        <v>180655752</v>
      </c>
      <c r="E7" s="12">
        <v>194512220</v>
      </c>
      <c r="F7" s="12">
        <v>209344212</v>
      </c>
      <c r="G7" s="12">
        <v>233946415</v>
      </c>
      <c r="H7" s="12">
        <v>255742462</v>
      </c>
      <c r="I7" s="12">
        <v>282463355</v>
      </c>
      <c r="J7" s="12">
        <v>339798429</v>
      </c>
      <c r="K7" s="12">
        <v>368844849</v>
      </c>
      <c r="L7" s="2"/>
    </row>
    <row r="8" spans="1:12" ht="15" x14ac:dyDescent="0.15">
      <c r="A8" s="1"/>
      <c r="B8" s="9" t="s">
        <v>15</v>
      </c>
      <c r="C8" s="10" t="s">
        <v>12</v>
      </c>
      <c r="D8" s="12">
        <v>49438414</v>
      </c>
      <c r="E8" s="12">
        <v>53314096</v>
      </c>
      <c r="F8" s="12">
        <v>59459528</v>
      </c>
      <c r="G8" s="12">
        <v>64236787</v>
      </c>
      <c r="H8" s="12">
        <v>74236472</v>
      </c>
      <c r="I8" s="12">
        <v>73362103</v>
      </c>
      <c r="J8" s="12">
        <v>79509643</v>
      </c>
      <c r="K8" s="12">
        <v>88579290</v>
      </c>
      <c r="L8" s="2"/>
    </row>
    <row r="9" spans="1:12" ht="15" x14ac:dyDescent="0.15">
      <c r="A9" s="1"/>
      <c r="B9" s="9" t="s">
        <v>16</v>
      </c>
      <c r="C9" s="10" t="s">
        <v>12</v>
      </c>
      <c r="D9" s="12">
        <v>57321328</v>
      </c>
      <c r="E9" s="12">
        <v>64832370</v>
      </c>
      <c r="F9" s="12">
        <v>73543714</v>
      </c>
      <c r="G9" s="12">
        <v>87093839</v>
      </c>
      <c r="H9" s="12">
        <v>90609445</v>
      </c>
      <c r="I9" s="12">
        <v>107291812</v>
      </c>
      <c r="J9" s="12">
        <v>140012853</v>
      </c>
      <c r="K9" s="12">
        <v>152617322</v>
      </c>
      <c r="L9" s="2"/>
    </row>
    <row r="10" spans="1:12" ht="15" x14ac:dyDescent="0.15">
      <c r="A10" s="1"/>
      <c r="B10" s="9" t="s">
        <v>17</v>
      </c>
      <c r="C10" s="10" t="s">
        <v>12</v>
      </c>
      <c r="D10" s="12">
        <v>106759742</v>
      </c>
      <c r="E10" s="12">
        <v>118146466</v>
      </c>
      <c r="F10" s="12">
        <v>133003242</v>
      </c>
      <c r="G10" s="12">
        <v>151330626</v>
      </c>
      <c r="H10" s="12">
        <v>164845917</v>
      </c>
      <c r="I10" s="12">
        <v>180653915</v>
      </c>
      <c r="J10" s="12">
        <v>219522496</v>
      </c>
      <c r="K10" s="12">
        <v>241196612</v>
      </c>
      <c r="L10" s="2"/>
    </row>
    <row r="11" spans="1:12" ht="15" x14ac:dyDescent="0.15">
      <c r="A11" s="1"/>
      <c r="B11" s="9" t="s">
        <v>18</v>
      </c>
      <c r="C11" s="10" t="s">
        <v>12</v>
      </c>
      <c r="D11" s="12">
        <v>67973969</v>
      </c>
      <c r="E11" s="12">
        <v>70065802</v>
      </c>
      <c r="F11" s="12">
        <v>69480633</v>
      </c>
      <c r="G11" s="12">
        <v>74986122</v>
      </c>
      <c r="H11" s="12">
        <v>82349287</v>
      </c>
      <c r="I11" s="12">
        <v>92497311</v>
      </c>
      <c r="J11" s="12">
        <v>109103398</v>
      </c>
      <c r="K11" s="12">
        <v>115446507</v>
      </c>
      <c r="L11" s="2"/>
    </row>
    <row r="12" spans="1:12" ht="15" x14ac:dyDescent="0.15">
      <c r="A12" s="1"/>
      <c r="B12" s="9" t="s">
        <v>19</v>
      </c>
      <c r="C12" s="10" t="s">
        <v>12</v>
      </c>
      <c r="D12" s="12">
        <v>5922041</v>
      </c>
      <c r="E12" s="12">
        <v>6299952</v>
      </c>
      <c r="F12" s="12">
        <v>6860337</v>
      </c>
      <c r="G12" s="12">
        <v>7629667</v>
      </c>
      <c r="H12" s="12">
        <v>8547258</v>
      </c>
      <c r="I12" s="12">
        <v>9312129</v>
      </c>
      <c r="J12" s="12">
        <v>11172535</v>
      </c>
      <c r="K12" s="12">
        <v>12201730</v>
      </c>
      <c r="L12" s="2"/>
    </row>
    <row r="13" spans="1:12" ht="15" x14ac:dyDescent="0.15">
      <c r="A13" s="1"/>
      <c r="B13" s="9" t="s">
        <v>20</v>
      </c>
      <c r="C13" s="10" t="s">
        <v>12</v>
      </c>
      <c r="D13" s="12">
        <v>73896010</v>
      </c>
      <c r="E13" s="12">
        <v>76365754</v>
      </c>
      <c r="F13" s="12">
        <v>76340970</v>
      </c>
      <c r="G13" s="12">
        <v>82615789</v>
      </c>
      <c r="H13" s="12">
        <v>90896545</v>
      </c>
      <c r="I13" s="12">
        <v>101809440</v>
      </c>
      <c r="J13" s="12">
        <v>120275933</v>
      </c>
      <c r="K13" s="12">
        <v>127648237</v>
      </c>
      <c r="L13" s="2"/>
    </row>
    <row r="14" spans="1:12" ht="15" x14ac:dyDescent="0.15">
      <c r="A14" s="1"/>
      <c r="B14" s="9" t="s">
        <v>21</v>
      </c>
      <c r="C14" s="10" t="s">
        <v>22</v>
      </c>
      <c r="D14" s="13">
        <v>1.4000000000000001</v>
      </c>
      <c r="E14" s="13">
        <v>7.6700951099525465</v>
      </c>
      <c r="F14" s="13">
        <v>7.625223752009</v>
      </c>
      <c r="G14" s="13">
        <v>11.752034013722817</v>
      </c>
      <c r="H14" s="13">
        <v>9.3166834807021939</v>
      </c>
      <c r="I14" s="13">
        <v>10.448359959872445</v>
      </c>
      <c r="J14" s="13">
        <v>20.298234438233589</v>
      </c>
      <c r="K14" s="13">
        <v>8.5481325165279092</v>
      </c>
      <c r="L14" s="2"/>
    </row>
    <row r="15" spans="1:12" x14ac:dyDescent="0.15"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2" ht="17" x14ac:dyDescent="0.15">
      <c r="A16" s="1"/>
      <c r="B16" s="6" t="s">
        <v>23</v>
      </c>
      <c r="C16" s="7" t="s">
        <v>2</v>
      </c>
      <c r="D16" s="7" t="s">
        <v>3</v>
      </c>
      <c r="E16" s="7" t="s">
        <v>4</v>
      </c>
      <c r="F16" s="7" t="s">
        <v>5</v>
      </c>
      <c r="G16" s="7" t="s">
        <v>6</v>
      </c>
      <c r="H16" s="7" t="s">
        <v>7</v>
      </c>
      <c r="I16" s="7" t="s">
        <v>8</v>
      </c>
      <c r="J16" s="7" t="s">
        <v>9</v>
      </c>
      <c r="K16" s="7" t="s">
        <v>10</v>
      </c>
      <c r="L16" s="2"/>
    </row>
    <row r="17" spans="1:12" ht="15" x14ac:dyDescent="0.15">
      <c r="A17" s="1"/>
      <c r="B17" s="9" t="s">
        <v>24</v>
      </c>
      <c r="C17" s="10" t="s">
        <v>12</v>
      </c>
      <c r="D17" s="12">
        <v>96812609</v>
      </c>
      <c r="E17" s="12">
        <v>105746422</v>
      </c>
      <c r="F17" s="12">
        <v>103997601</v>
      </c>
      <c r="G17" s="12">
        <v>117610626</v>
      </c>
      <c r="H17" s="12">
        <v>142151469</v>
      </c>
      <c r="I17" s="12">
        <v>162663579</v>
      </c>
      <c r="J17" s="12">
        <v>175231153</v>
      </c>
      <c r="K17" s="12">
        <v>186254472</v>
      </c>
      <c r="L17" s="2"/>
    </row>
    <row r="18" spans="1:12" ht="15" x14ac:dyDescent="0.15">
      <c r="A18" s="1"/>
      <c r="B18" s="9" t="s">
        <v>25</v>
      </c>
      <c r="C18" s="10" t="s">
        <v>12</v>
      </c>
      <c r="D18" s="12">
        <v>15142130</v>
      </c>
      <c r="E18" s="12">
        <v>17655013</v>
      </c>
      <c r="F18" s="12">
        <v>18481670</v>
      </c>
      <c r="G18" s="12">
        <v>21930495</v>
      </c>
      <c r="H18" s="12">
        <v>28271900</v>
      </c>
      <c r="I18" s="12">
        <v>33484396</v>
      </c>
      <c r="J18" s="12">
        <v>35749207</v>
      </c>
      <c r="K18" s="12">
        <v>34216836</v>
      </c>
      <c r="L18" s="2"/>
    </row>
    <row r="19" spans="1:12" ht="15" x14ac:dyDescent="0.15">
      <c r="A19" s="1"/>
      <c r="B19" s="9" t="s">
        <v>26</v>
      </c>
      <c r="C19" s="10" t="s">
        <v>12</v>
      </c>
      <c r="D19" s="12">
        <v>2422165</v>
      </c>
      <c r="E19" s="12">
        <v>3605505</v>
      </c>
      <c r="F19" s="12">
        <v>2394671</v>
      </c>
      <c r="G19" s="12">
        <v>6678949</v>
      </c>
      <c r="H19" s="12">
        <v>9824928</v>
      </c>
      <c r="I19" s="12">
        <v>15126901</v>
      </c>
      <c r="J19" s="12">
        <v>14239592</v>
      </c>
      <c r="K19" s="12">
        <v>11467851</v>
      </c>
      <c r="L19" s="2"/>
    </row>
    <row r="20" spans="1:12" ht="15" x14ac:dyDescent="0.15">
      <c r="A20" s="1"/>
      <c r="B20" s="9" t="s">
        <v>27</v>
      </c>
      <c r="C20" s="10" t="s">
        <v>12</v>
      </c>
      <c r="D20" s="12">
        <v>2529582</v>
      </c>
      <c r="E20" s="12">
        <v>4163766</v>
      </c>
      <c r="F20" s="12">
        <v>2093256</v>
      </c>
      <c r="G20" s="12">
        <v>7959562</v>
      </c>
      <c r="H20" s="12">
        <v>11181471</v>
      </c>
      <c r="I20" s="12">
        <v>17618662</v>
      </c>
      <c r="J20" s="12">
        <v>17781436</v>
      </c>
      <c r="K20" s="12">
        <v>13841903</v>
      </c>
      <c r="L20" s="2"/>
    </row>
    <row r="21" spans="1:12" ht="15" x14ac:dyDescent="0.15">
      <c r="A21" s="1"/>
      <c r="B21" s="9" t="s">
        <v>28</v>
      </c>
      <c r="C21" s="10" t="s">
        <v>12</v>
      </c>
      <c r="D21" s="12">
        <v>1645019</v>
      </c>
      <c r="E21" s="12">
        <v>3185646</v>
      </c>
      <c r="F21" s="12">
        <v>1924553</v>
      </c>
      <c r="G21" s="12">
        <v>5693077</v>
      </c>
      <c r="H21" s="12">
        <v>7983614</v>
      </c>
      <c r="I21" s="12">
        <v>12272301</v>
      </c>
      <c r="J21" s="12">
        <v>13229908</v>
      </c>
      <c r="K21" s="12">
        <v>10364775</v>
      </c>
      <c r="L21" s="2"/>
    </row>
    <row r="22" spans="1:12" ht="15" x14ac:dyDescent="0.15">
      <c r="A22" s="1"/>
      <c r="B22" s="9" t="s">
        <v>29</v>
      </c>
      <c r="C22" s="10" t="s">
        <v>12</v>
      </c>
      <c r="D22" s="12">
        <v>1508084</v>
      </c>
      <c r="E22" s="12">
        <v>2980049</v>
      </c>
      <c r="F22" s="12">
        <v>1424436</v>
      </c>
      <c r="G22" s="12">
        <v>4942356</v>
      </c>
      <c r="H22" s="12">
        <v>7364364</v>
      </c>
      <c r="I22" s="12">
        <v>11961717</v>
      </c>
      <c r="J22" s="12">
        <v>12526691</v>
      </c>
      <c r="K22" s="12">
        <v>9445987</v>
      </c>
      <c r="L22" s="2"/>
    </row>
    <row r="23" spans="1:12" ht="15" x14ac:dyDescent="0.15">
      <c r="A23" s="1"/>
      <c r="B23" s="9" t="s">
        <v>30</v>
      </c>
      <c r="C23" s="10" t="s">
        <v>12</v>
      </c>
      <c r="D23" s="12">
        <v>136935</v>
      </c>
      <c r="E23" s="12">
        <v>205597</v>
      </c>
      <c r="F23" s="12">
        <v>500117</v>
      </c>
      <c r="G23" s="12">
        <v>750721</v>
      </c>
      <c r="H23" s="12">
        <v>619250</v>
      </c>
      <c r="I23" s="12">
        <v>310584</v>
      </c>
      <c r="J23" s="12">
        <v>703217</v>
      </c>
      <c r="K23" s="12">
        <v>918788</v>
      </c>
      <c r="L23" s="2"/>
    </row>
    <row r="24" spans="1:12" ht="15" x14ac:dyDescent="0.15">
      <c r="A24" s="1"/>
      <c r="B24" s="9" t="s">
        <v>31</v>
      </c>
      <c r="C24" s="10" t="s">
        <v>22</v>
      </c>
      <c r="D24" s="13">
        <v>0.5</v>
      </c>
      <c r="E24" s="13">
        <v>9.2279436452332355</v>
      </c>
      <c r="F24" s="13">
        <v>-1.6537873971754806</v>
      </c>
      <c r="G24" s="13">
        <v>13.089749060653814</v>
      </c>
      <c r="H24" s="13">
        <v>20.866178367250594</v>
      </c>
      <c r="I24" s="13">
        <v>14.429755910577329</v>
      </c>
      <c r="J24" s="13">
        <v>7.7261142766322637</v>
      </c>
      <c r="K24" s="13">
        <v>6.2907301648583003</v>
      </c>
      <c r="L24" s="2"/>
    </row>
    <row r="25" spans="1:12" ht="15" x14ac:dyDescent="0.15">
      <c r="A25" s="1"/>
      <c r="B25" s="9" t="s">
        <v>32</v>
      </c>
      <c r="C25" s="10" t="s">
        <v>22</v>
      </c>
      <c r="D25" s="13">
        <v>-63.8</v>
      </c>
      <c r="E25" s="13">
        <v>93.654055059546423</v>
      </c>
      <c r="F25" s="13">
        <v>-39.58672746438242</v>
      </c>
      <c r="G25" s="13">
        <v>195.8129498122421</v>
      </c>
      <c r="H25" s="13">
        <v>40.233725979817244</v>
      </c>
      <c r="I25" s="13">
        <v>53.718616656566809</v>
      </c>
      <c r="J25" s="13">
        <v>7.8029947277205807</v>
      </c>
      <c r="K25" s="13">
        <v>-21.656484686061308</v>
      </c>
      <c r="L25" s="2"/>
    </row>
    <row r="26" spans="1:12" ht="15" x14ac:dyDescent="0.15">
      <c r="A26" s="1"/>
      <c r="B26" s="11" t="s">
        <v>33</v>
      </c>
      <c r="L26" s="2"/>
    </row>
    <row r="27" spans="1:12" ht="15" x14ac:dyDescent="0.15">
      <c r="A27" s="1"/>
      <c r="B27" s="9" t="s">
        <v>34</v>
      </c>
      <c r="C27" s="10" t="s">
        <v>35</v>
      </c>
      <c r="D27" s="12">
        <v>5632</v>
      </c>
      <c r="E27" s="12">
        <v>11310</v>
      </c>
      <c r="F27" s="12">
        <v>5454</v>
      </c>
      <c r="G27" s="12">
        <v>18979</v>
      </c>
      <c r="H27" s="12">
        <v>28521</v>
      </c>
      <c r="I27" s="12">
        <v>45703</v>
      </c>
      <c r="J27" s="12">
        <v>47615</v>
      </c>
      <c r="K27" s="12">
        <v>36088</v>
      </c>
      <c r="L27" s="2"/>
    </row>
    <row r="28" spans="1:12" ht="15" x14ac:dyDescent="0.15">
      <c r="A28" s="1"/>
      <c r="B28" s="9" t="s">
        <v>36</v>
      </c>
      <c r="C28" s="10" t="s">
        <v>35</v>
      </c>
      <c r="D28" s="12">
        <v>5681</v>
      </c>
      <c r="E28" s="12">
        <v>11355</v>
      </c>
      <c r="F28" s="12">
        <v>5502</v>
      </c>
      <c r="G28" s="12">
        <v>19002</v>
      </c>
      <c r="H28" s="12">
        <v>28207</v>
      </c>
      <c r="I28" s="12">
        <v>45535</v>
      </c>
      <c r="J28" s="12">
        <v>47369</v>
      </c>
      <c r="K28" s="12">
        <v>37851</v>
      </c>
      <c r="L28" s="2"/>
    </row>
    <row r="29" spans="1:12" ht="15" x14ac:dyDescent="0.15">
      <c r="A29" s="1"/>
      <c r="B29" s="9" t="s">
        <v>37</v>
      </c>
      <c r="C29" s="10" t="s">
        <v>35</v>
      </c>
      <c r="D29" s="12">
        <v>5632</v>
      </c>
      <c r="E29" s="12">
        <v>11310</v>
      </c>
      <c r="F29" s="12">
        <v>5454</v>
      </c>
      <c r="G29" s="12">
        <v>18979</v>
      </c>
      <c r="H29" s="12">
        <v>28521</v>
      </c>
      <c r="I29" s="12">
        <v>45703</v>
      </c>
      <c r="J29" s="12">
        <v>47615</v>
      </c>
      <c r="K29" s="12">
        <v>36088</v>
      </c>
      <c r="L29" s="2"/>
    </row>
    <row r="30" spans="1:12" ht="15" x14ac:dyDescent="0.15">
      <c r="A30" s="1"/>
      <c r="B30" s="9" t="s">
        <v>38</v>
      </c>
      <c r="C30" s="10" t="s">
        <v>35</v>
      </c>
      <c r="D30" s="12">
        <v>5681</v>
      </c>
      <c r="E30" s="12">
        <v>11355</v>
      </c>
      <c r="F30" s="12">
        <v>5502</v>
      </c>
      <c r="G30" s="12">
        <v>19002</v>
      </c>
      <c r="H30" s="12">
        <v>28207</v>
      </c>
      <c r="I30" s="12">
        <v>45535</v>
      </c>
      <c r="J30" s="12">
        <v>47369</v>
      </c>
      <c r="K30" s="12">
        <v>37851</v>
      </c>
      <c r="L30" s="2"/>
    </row>
    <row r="31" spans="1:12" x14ac:dyDescent="0.15"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2" ht="17" x14ac:dyDescent="0.15">
      <c r="A32" s="1"/>
      <c r="B32" s="6" t="s">
        <v>39</v>
      </c>
      <c r="C32" s="7" t="s">
        <v>2</v>
      </c>
      <c r="D32" s="7" t="s">
        <v>3</v>
      </c>
      <c r="E32" s="7" t="s">
        <v>4</v>
      </c>
      <c r="F32" s="7" t="s">
        <v>5</v>
      </c>
      <c r="G32" s="7" t="s">
        <v>6</v>
      </c>
      <c r="H32" s="7" t="s">
        <v>7</v>
      </c>
      <c r="I32" s="7" t="s">
        <v>8</v>
      </c>
      <c r="J32" s="7" t="s">
        <v>9</v>
      </c>
      <c r="K32" s="7" t="s">
        <v>10</v>
      </c>
      <c r="L32" s="2"/>
    </row>
    <row r="33" spans="1:12" ht="15" x14ac:dyDescent="0.15">
      <c r="A33" s="1"/>
      <c r="B33" s="9" t="s">
        <v>40</v>
      </c>
      <c r="C33" s="10" t="s">
        <v>12</v>
      </c>
      <c r="D33" s="12">
        <v>3764265</v>
      </c>
      <c r="E33" s="12">
        <v>419784</v>
      </c>
      <c r="F33" s="12">
        <v>-409807</v>
      </c>
      <c r="G33" s="12">
        <v>-1176416</v>
      </c>
      <c r="H33" s="12">
        <v>10627311</v>
      </c>
      <c r="I33" s="12">
        <v>-2518760</v>
      </c>
      <c r="J33" s="12">
        <v>-5661641</v>
      </c>
      <c r="K33" s="12">
        <v>-5991270</v>
      </c>
      <c r="L33" s="2"/>
    </row>
    <row r="34" spans="1:12" ht="15" x14ac:dyDescent="0.15">
      <c r="A34" s="1"/>
      <c r="B34" s="9" t="s">
        <v>41</v>
      </c>
      <c r="C34" s="10" t="s">
        <v>12</v>
      </c>
      <c r="D34" s="12">
        <v>-2415064</v>
      </c>
      <c r="E34" s="12">
        <v>-5929184</v>
      </c>
      <c r="F34" s="12">
        <v>-9337596</v>
      </c>
      <c r="G34" s="12">
        <v>-5182579</v>
      </c>
      <c r="H34" s="12">
        <v>-1203495</v>
      </c>
      <c r="I34" s="12">
        <v>-8649391</v>
      </c>
      <c r="J34" s="12">
        <v>-14623489</v>
      </c>
      <c r="K34" s="12">
        <v>-10347129</v>
      </c>
      <c r="L34" s="2"/>
    </row>
    <row r="35" spans="1:12" ht="15" x14ac:dyDescent="0.15">
      <c r="A35" s="1"/>
      <c r="B35" s="9" t="s">
        <v>42</v>
      </c>
      <c r="C35" s="10" t="s">
        <v>12</v>
      </c>
      <c r="D35" s="12">
        <v>-880782</v>
      </c>
      <c r="E35" s="12">
        <v>4874926</v>
      </c>
      <c r="F35" s="12">
        <v>11352473</v>
      </c>
      <c r="G35" s="12">
        <v>8792286</v>
      </c>
      <c r="H35" s="12">
        <v>-1324499</v>
      </c>
      <c r="I35" s="12">
        <v>9393371</v>
      </c>
      <c r="J35" s="12">
        <v>19493291</v>
      </c>
      <c r="K35" s="12">
        <v>15424760</v>
      </c>
      <c r="L35" s="2"/>
    </row>
    <row r="36" spans="1:12" ht="15" x14ac:dyDescent="0.15">
      <c r="A36" s="1"/>
      <c r="B36" s="9" t="s">
        <v>43</v>
      </c>
      <c r="C36" s="10" t="s">
        <v>12</v>
      </c>
      <c r="D36" s="12">
        <v>292096</v>
      </c>
      <c r="E36" s="12">
        <v>-431654</v>
      </c>
      <c r="F36" s="12">
        <v>1180165</v>
      </c>
      <c r="G36" s="12">
        <v>2933418</v>
      </c>
      <c r="H36" s="12">
        <v>8069325</v>
      </c>
      <c r="I36" s="12">
        <v>-1698260</v>
      </c>
      <c r="J36" s="12">
        <v>-151675</v>
      </c>
      <c r="K36" s="12">
        <v>-654378</v>
      </c>
      <c r="L36" s="2"/>
    </row>
    <row r="37" spans="1:12" ht="15" x14ac:dyDescent="0.15">
      <c r="A37" s="1"/>
      <c r="B37" s="9" t="s">
        <v>44</v>
      </c>
      <c r="C37" s="10" t="s">
        <v>12</v>
      </c>
      <c r="D37" s="12">
        <v>9113625</v>
      </c>
      <c r="E37" s="12">
        <v>8681971</v>
      </c>
      <c r="F37" s="12">
        <v>9862136</v>
      </c>
      <c r="G37" s="12">
        <v>12795554</v>
      </c>
      <c r="H37" s="12">
        <v>20864879</v>
      </c>
      <c r="I37" s="12">
        <v>19166619</v>
      </c>
      <c r="J37" s="12">
        <v>19014944</v>
      </c>
      <c r="K37" s="12">
        <v>18360566</v>
      </c>
      <c r="L37" s="2"/>
    </row>
    <row r="38" spans="1:12" x14ac:dyDescent="0.15"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2" ht="17" x14ac:dyDescent="0.15">
      <c r="A39" s="1"/>
      <c r="B39" s="6" t="s">
        <v>45</v>
      </c>
      <c r="C39" s="7" t="s">
        <v>2</v>
      </c>
      <c r="D39" s="7" t="s">
        <v>3</v>
      </c>
      <c r="E39" s="7" t="s">
        <v>4</v>
      </c>
      <c r="F39" s="7" t="s">
        <v>5</v>
      </c>
      <c r="G39" s="7" t="s">
        <v>6</v>
      </c>
      <c r="H39" s="7" t="s">
        <v>7</v>
      </c>
      <c r="I39" s="7" t="s">
        <v>8</v>
      </c>
      <c r="J39" s="7" t="s">
        <v>9</v>
      </c>
      <c r="K39" s="7" t="s">
        <v>10</v>
      </c>
      <c r="L39" s="2"/>
    </row>
    <row r="40" spans="1:12" ht="15" x14ac:dyDescent="0.15">
      <c r="A40" s="1"/>
      <c r="B40" s="9" t="s">
        <v>46</v>
      </c>
      <c r="C40" s="10" t="s">
        <v>22</v>
      </c>
      <c r="D40" s="13">
        <v>147.67484450451829</v>
      </c>
      <c r="E40" s="13">
        <v>142.70686123984922</v>
      </c>
      <c r="F40" s="13">
        <v>140.74507453204134</v>
      </c>
      <c r="G40" s="13">
        <v>137.87328123992253</v>
      </c>
      <c r="H40" s="13">
        <v>129.84085908608373</v>
      </c>
      <c r="I40" s="13">
        <v>138.66112453183084</v>
      </c>
      <c r="J40" s="13">
        <v>145.59779497437816</v>
      </c>
      <c r="K40" s="13">
        <v>136.34943675886316</v>
      </c>
      <c r="L40" s="2"/>
    </row>
    <row r="41" spans="1:12" ht="15" x14ac:dyDescent="0.15">
      <c r="A41" s="1"/>
      <c r="B41" s="9" t="s">
        <v>47</v>
      </c>
      <c r="C41" s="10" t="s">
        <v>22</v>
      </c>
      <c r="D41" s="13">
        <v>144.47294515630819</v>
      </c>
      <c r="E41" s="13">
        <v>154.71131994584903</v>
      </c>
      <c r="F41" s="13">
        <v>174.22262515134403</v>
      </c>
      <c r="G41" s="13">
        <v>183.17397658696933</v>
      </c>
      <c r="H41" s="13">
        <v>181.35553667083826</v>
      </c>
      <c r="I41" s="13">
        <v>177.4431869971979</v>
      </c>
      <c r="J41" s="13">
        <v>182.51572906110817</v>
      </c>
      <c r="K41" s="13">
        <v>188.95412711418805</v>
      </c>
      <c r="L41" s="2"/>
    </row>
    <row r="42" spans="1:12" ht="15" x14ac:dyDescent="0.15">
      <c r="A42" s="1"/>
      <c r="B42" s="9" t="s">
        <v>48</v>
      </c>
      <c r="C42" s="10" t="s">
        <v>22</v>
      </c>
      <c r="D42" s="13">
        <v>99.2</v>
      </c>
      <c r="E42" s="13">
        <v>106.60000000000001</v>
      </c>
      <c r="F42" s="13">
        <v>119.7</v>
      </c>
      <c r="G42" s="13">
        <v>130.47539617396865</v>
      </c>
      <c r="H42" s="13">
        <v>123.42143477510615</v>
      </c>
      <c r="I42" s="13">
        <v>122.53083702257865</v>
      </c>
      <c r="J42" s="13">
        <v>130.10862281151458</v>
      </c>
      <c r="K42" s="13">
        <v>137.40090903096453</v>
      </c>
      <c r="L42" s="2"/>
    </row>
    <row r="43" spans="1:12" ht="15" x14ac:dyDescent="0.15">
      <c r="A43" s="1"/>
      <c r="B43" s="9" t="s">
        <v>49</v>
      </c>
      <c r="C43" s="10" t="s">
        <v>22</v>
      </c>
      <c r="D43" s="13">
        <v>1.6991784613510414</v>
      </c>
      <c r="E43" s="13">
        <v>3.0125331332723486</v>
      </c>
      <c r="F43" s="13">
        <v>1.8505744185387509</v>
      </c>
      <c r="G43" s="13">
        <v>4.8406144866536129</v>
      </c>
      <c r="H43" s="13">
        <v>5.616272597225147</v>
      </c>
      <c r="I43" s="13">
        <v>7.5445905441438743</v>
      </c>
      <c r="J43" s="13">
        <v>7.5499748609198498</v>
      </c>
      <c r="K43" s="13">
        <v>5.5648462497050808</v>
      </c>
      <c r="L43" s="2"/>
    </row>
    <row r="44" spans="1:12" ht="15" x14ac:dyDescent="0.15">
      <c r="A44" s="1"/>
      <c r="B44" s="9" t="s">
        <v>50</v>
      </c>
      <c r="C44" s="10" t="s">
        <v>35</v>
      </c>
      <c r="D44" s="12">
        <v>5632</v>
      </c>
      <c r="E44" s="12">
        <v>11310</v>
      </c>
      <c r="F44" s="12">
        <v>5454</v>
      </c>
      <c r="G44" s="12">
        <v>18979</v>
      </c>
      <c r="H44" s="12">
        <v>28521</v>
      </c>
      <c r="I44" s="12">
        <v>45703</v>
      </c>
      <c r="J44" s="12">
        <v>47615</v>
      </c>
      <c r="K44" s="12">
        <v>36088</v>
      </c>
      <c r="L44" s="2"/>
    </row>
    <row r="45" spans="1:12" x14ac:dyDescent="0.15"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2" ht="17" x14ac:dyDescent="0.15">
      <c r="A46" s="1"/>
      <c r="B46" s="6" t="s">
        <v>51</v>
      </c>
      <c r="C46" s="7" t="s">
        <v>2</v>
      </c>
      <c r="D46" s="7" t="s">
        <v>3</v>
      </c>
      <c r="E46" s="7" t="s">
        <v>4</v>
      </c>
      <c r="F46" s="7" t="s">
        <v>5</v>
      </c>
      <c r="G46" s="7" t="s">
        <v>6</v>
      </c>
      <c r="H46" s="7" t="s">
        <v>7</v>
      </c>
      <c r="I46" s="7" t="s">
        <v>8</v>
      </c>
      <c r="J46" s="7" t="s">
        <v>9</v>
      </c>
      <c r="K46" s="7" t="s">
        <v>10</v>
      </c>
      <c r="L46" s="2"/>
    </row>
    <row r="47" spans="1:12" ht="15" x14ac:dyDescent="0.15">
      <c r="A47" s="1"/>
      <c r="B47" s="11" t="s">
        <v>52</v>
      </c>
      <c r="L47" s="2"/>
    </row>
    <row r="48" spans="1:12" ht="15" x14ac:dyDescent="0.15">
      <c r="A48" s="1"/>
      <c r="B48" s="9" t="s">
        <v>53</v>
      </c>
      <c r="C48" s="10" t="s">
        <v>12</v>
      </c>
      <c r="D48" s="12">
        <v>75265414</v>
      </c>
      <c r="E48" s="12">
        <v>82486696</v>
      </c>
      <c r="F48" s="12">
        <v>80577320</v>
      </c>
      <c r="G48" s="12">
        <v>94143019</v>
      </c>
      <c r="H48" s="12">
        <v>113341992</v>
      </c>
      <c r="I48" s="12">
        <v>130149921</v>
      </c>
      <c r="J48" s="12">
        <v>136725011</v>
      </c>
      <c r="K48" s="12">
        <v>145631818</v>
      </c>
      <c r="L48" s="2"/>
    </row>
    <row r="49" spans="1:12" ht="15" x14ac:dyDescent="0.15">
      <c r="A49" s="1"/>
      <c r="B49" s="9" t="s">
        <v>54</v>
      </c>
      <c r="C49" s="10" t="s">
        <v>12</v>
      </c>
      <c r="D49" s="12">
        <v>14958204</v>
      </c>
      <c r="E49" s="12">
        <v>16026456</v>
      </c>
      <c r="F49" s="12">
        <v>16848079</v>
      </c>
      <c r="G49" s="12">
        <v>16782412</v>
      </c>
      <c r="H49" s="12">
        <v>20037912</v>
      </c>
      <c r="I49" s="12">
        <v>22401156</v>
      </c>
      <c r="J49" s="12">
        <v>28446650</v>
      </c>
      <c r="K49" s="12">
        <v>30232775</v>
      </c>
      <c r="L49" s="2"/>
    </row>
    <row r="50" spans="1:12" ht="15" x14ac:dyDescent="0.15">
      <c r="A50" s="1"/>
      <c r="B50" s="9" t="s">
        <v>55</v>
      </c>
      <c r="C50" s="10" t="s">
        <v>12</v>
      </c>
      <c r="D50" s="12">
        <v>6588991</v>
      </c>
      <c r="E50" s="12">
        <v>7233270</v>
      </c>
      <c r="F50" s="12">
        <v>6572202</v>
      </c>
      <c r="G50" s="12">
        <v>6685195</v>
      </c>
      <c r="H50" s="12">
        <v>8771565</v>
      </c>
      <c r="I50" s="12">
        <v>10112502</v>
      </c>
      <c r="J50" s="12">
        <v>10059492</v>
      </c>
      <c r="K50" s="12">
        <v>10389879</v>
      </c>
      <c r="L50" s="2"/>
    </row>
    <row r="51" spans="1:12" ht="15" x14ac:dyDescent="0.15">
      <c r="A51" s="1"/>
      <c r="B51" s="9" t="s">
        <v>56</v>
      </c>
      <c r="C51" s="10" t="s">
        <v>12</v>
      </c>
      <c r="D51" s="12">
        <v>96812609</v>
      </c>
      <c r="E51" s="12">
        <v>105746422</v>
      </c>
      <c r="F51" s="12">
        <v>103997601</v>
      </c>
      <c r="G51" s="12">
        <v>117610626</v>
      </c>
      <c r="H51" s="12">
        <v>142151469</v>
      </c>
      <c r="I51" s="12">
        <v>162663579</v>
      </c>
      <c r="J51" s="12">
        <v>175231153</v>
      </c>
      <c r="K51" s="12">
        <v>186254472</v>
      </c>
      <c r="L51" s="2"/>
    </row>
    <row r="52" spans="1:12" ht="15" x14ac:dyDescent="0.15">
      <c r="A52" s="1"/>
      <c r="B52" s="11" t="s">
        <v>57</v>
      </c>
      <c r="L52" s="2"/>
    </row>
    <row r="53" spans="1:12" ht="15" x14ac:dyDescent="0.15">
      <c r="A53" s="1"/>
      <c r="B53" s="9" t="s">
        <v>53</v>
      </c>
      <c r="C53" s="10" t="s">
        <v>12</v>
      </c>
      <c r="D53" s="12">
        <v>1062241</v>
      </c>
      <c r="E53" s="12">
        <v>2618009</v>
      </c>
      <c r="F53" s="12">
        <v>728139</v>
      </c>
      <c r="G53" s="12">
        <v>4155765</v>
      </c>
      <c r="H53" s="12">
        <v>7910469</v>
      </c>
      <c r="I53" s="12">
        <v>12969227</v>
      </c>
      <c r="J53" s="12">
        <v>11074739</v>
      </c>
      <c r="K53" s="12">
        <v>7358550</v>
      </c>
      <c r="L53" s="2"/>
    </row>
    <row r="54" spans="1:12" ht="15" x14ac:dyDescent="0.15">
      <c r="A54" s="1"/>
      <c r="B54" s="9" t="s">
        <v>54</v>
      </c>
      <c r="C54" s="10" t="s">
        <v>12</v>
      </c>
      <c r="D54" s="12">
        <v>746612</v>
      </c>
      <c r="E54" s="12">
        <v>887983</v>
      </c>
      <c r="F54" s="12">
        <v>1367913</v>
      </c>
      <c r="G54" s="12">
        <v>2195377</v>
      </c>
      <c r="H54" s="12">
        <v>1844571</v>
      </c>
      <c r="I54" s="12">
        <v>1385538</v>
      </c>
      <c r="J54" s="12">
        <v>1795249</v>
      </c>
      <c r="K54" s="12">
        <v>2164043</v>
      </c>
      <c r="L54" s="2"/>
    </row>
    <row r="55" spans="1:12" ht="15" x14ac:dyDescent="0.15">
      <c r="A55" s="1"/>
      <c r="B55" s="9" t="s">
        <v>55</v>
      </c>
      <c r="C55" s="10" t="s">
        <v>12</v>
      </c>
      <c r="D55" s="12">
        <v>105295</v>
      </c>
      <c r="E55" s="12">
        <v>99471</v>
      </c>
      <c r="F55" s="12">
        <v>298619</v>
      </c>
      <c r="G55" s="12">
        <v>327807</v>
      </c>
      <c r="H55" s="12">
        <v>581718</v>
      </c>
      <c r="I55" s="12">
        <v>1064063</v>
      </c>
      <c r="J55" s="12">
        <v>1032844</v>
      </c>
      <c r="K55" s="12">
        <v>832869</v>
      </c>
      <c r="L55" s="2"/>
    </row>
    <row r="56" spans="1:12" ht="15" x14ac:dyDescent="0.15">
      <c r="A56" s="1"/>
      <c r="B56" s="9" t="s">
        <v>58</v>
      </c>
      <c r="C56" s="10" t="s">
        <v>12</v>
      </c>
      <c r="D56" s="12">
        <v>508017</v>
      </c>
      <c r="E56" s="12">
        <v>42</v>
      </c>
      <c r="F56" s="12" t="s">
        <v>59</v>
      </c>
      <c r="G56" s="12" t="s">
        <v>59</v>
      </c>
      <c r="H56" s="12">
        <v>-511830</v>
      </c>
      <c r="I56" s="12">
        <v>-291927</v>
      </c>
      <c r="J56" s="12">
        <v>336760</v>
      </c>
      <c r="K56" s="12">
        <v>1112389</v>
      </c>
      <c r="L56" s="2"/>
    </row>
    <row r="57" spans="1:12" ht="15" x14ac:dyDescent="0.15">
      <c r="A57" s="1"/>
      <c r="B57" s="9" t="s">
        <v>56</v>
      </c>
      <c r="C57" s="10" t="s">
        <v>12</v>
      </c>
      <c r="D57" s="12">
        <v>2422165</v>
      </c>
      <c r="E57" s="12">
        <v>3605505</v>
      </c>
      <c r="F57" s="12">
        <v>2394671</v>
      </c>
      <c r="G57" s="12">
        <v>6678949</v>
      </c>
      <c r="H57" s="12">
        <v>9824928</v>
      </c>
      <c r="I57" s="12">
        <v>15126901</v>
      </c>
      <c r="J57" s="12">
        <v>14239592</v>
      </c>
      <c r="K57" s="12">
        <v>11467851</v>
      </c>
      <c r="L57" s="2"/>
    </row>
    <row r="58" spans="1:12" ht="15" x14ac:dyDescent="0.15">
      <c r="A58" s="1"/>
      <c r="B58" s="11" t="s">
        <v>60</v>
      </c>
      <c r="L58" s="2"/>
    </row>
    <row r="59" spans="1:12" ht="15" x14ac:dyDescent="0.15">
      <c r="A59" s="1"/>
      <c r="B59" s="9" t="s">
        <v>61</v>
      </c>
      <c r="C59" s="10" t="s">
        <v>12</v>
      </c>
      <c r="D59" s="12">
        <v>36751856</v>
      </c>
      <c r="E59" s="12">
        <v>37867789</v>
      </c>
      <c r="F59" s="12">
        <v>40284242</v>
      </c>
      <c r="G59" s="12">
        <v>41332243</v>
      </c>
      <c r="H59" s="12">
        <v>44725966</v>
      </c>
      <c r="I59" s="12">
        <v>50145518</v>
      </c>
      <c r="J59" s="12">
        <v>52207552</v>
      </c>
      <c r="K59" s="12">
        <v>55298034</v>
      </c>
      <c r="L59" s="2"/>
    </row>
    <row r="60" spans="1:12" ht="15" x14ac:dyDescent="0.15">
      <c r="A60" s="1"/>
      <c r="B60" s="9" t="s">
        <v>62</v>
      </c>
      <c r="C60" s="10" t="s">
        <v>12</v>
      </c>
      <c r="D60" s="12">
        <v>30709056</v>
      </c>
      <c r="E60" s="12">
        <v>35970685</v>
      </c>
      <c r="F60" s="12">
        <v>36628365</v>
      </c>
      <c r="G60" s="12">
        <v>40750484</v>
      </c>
      <c r="H60" s="12">
        <v>55941024</v>
      </c>
      <c r="I60" s="12">
        <v>66423274</v>
      </c>
      <c r="J60" s="12">
        <v>77030822</v>
      </c>
      <c r="K60" s="12">
        <v>83444813</v>
      </c>
      <c r="L60" s="2"/>
    </row>
    <row r="61" spans="1:12" ht="15" x14ac:dyDescent="0.15">
      <c r="A61" s="1"/>
      <c r="B61" s="9" t="s">
        <v>63</v>
      </c>
      <c r="C61" s="10" t="s">
        <v>12</v>
      </c>
      <c r="D61" s="12">
        <v>9325305</v>
      </c>
      <c r="E61" s="12">
        <v>10240812</v>
      </c>
      <c r="F61" s="12">
        <v>8752024</v>
      </c>
      <c r="G61" s="12">
        <v>11390768</v>
      </c>
      <c r="H61" s="12">
        <v>15594336</v>
      </c>
      <c r="I61" s="12">
        <v>17498807</v>
      </c>
      <c r="J61" s="12">
        <v>17953549</v>
      </c>
      <c r="K61" s="12">
        <v>17343320</v>
      </c>
      <c r="L61" s="2"/>
    </row>
    <row r="62" spans="1:12" ht="15" x14ac:dyDescent="0.15">
      <c r="A62" s="1"/>
      <c r="B62" s="9" t="s">
        <v>64</v>
      </c>
      <c r="C62" s="10" t="s">
        <v>12</v>
      </c>
      <c r="D62" s="12">
        <v>17173071</v>
      </c>
      <c r="E62" s="12">
        <v>18736797</v>
      </c>
      <c r="F62" s="12">
        <v>16447637</v>
      </c>
      <c r="G62" s="12">
        <v>21508735</v>
      </c>
      <c r="H62" s="12">
        <v>21741766</v>
      </c>
      <c r="I62" s="12">
        <v>23809444</v>
      </c>
      <c r="J62" s="12">
        <v>22733672</v>
      </c>
      <c r="K62" s="12">
        <v>24470810</v>
      </c>
      <c r="L62" s="2"/>
    </row>
    <row r="63" spans="1:12" ht="15" x14ac:dyDescent="0.15">
      <c r="A63" s="1"/>
      <c r="B63" s="9" t="s">
        <v>55</v>
      </c>
      <c r="C63" s="10" t="s">
        <v>12</v>
      </c>
      <c r="D63" s="12">
        <v>2853321</v>
      </c>
      <c r="E63" s="12">
        <v>2930339</v>
      </c>
      <c r="F63" s="12">
        <v>1885333</v>
      </c>
      <c r="G63" s="12">
        <v>2628396</v>
      </c>
      <c r="H63" s="12">
        <v>4148377</v>
      </c>
      <c r="I63" s="12">
        <v>4786536</v>
      </c>
      <c r="J63" s="12">
        <v>5305558</v>
      </c>
      <c r="K63" s="12">
        <v>5697495</v>
      </c>
      <c r="L63" s="2"/>
    </row>
    <row r="64" spans="1:12" ht="15" x14ac:dyDescent="0.15">
      <c r="A64" s="1"/>
      <c r="B64" s="9" t="s">
        <v>56</v>
      </c>
      <c r="C64" s="10" t="s">
        <v>12</v>
      </c>
      <c r="D64" s="12">
        <v>96812609</v>
      </c>
      <c r="E64" s="12">
        <v>105746422</v>
      </c>
      <c r="F64" s="12">
        <v>103997601</v>
      </c>
      <c r="G64" s="12">
        <v>117610626</v>
      </c>
      <c r="H64" s="12">
        <v>142151469</v>
      </c>
      <c r="I64" s="12">
        <v>162663579</v>
      </c>
      <c r="J64" s="12">
        <v>175231153</v>
      </c>
      <c r="K64" s="12">
        <v>186254472</v>
      </c>
      <c r="L64" s="2"/>
    </row>
    <row r="65" spans="2:11" ht="12.75" customHeight="1" x14ac:dyDescent="0.15">
      <c r="B65" s="3" t="s">
        <v>65</v>
      </c>
      <c r="C65" s="3"/>
      <c r="D65" s="3"/>
      <c r="E65" s="3"/>
      <c r="F65" s="3"/>
      <c r="G65" s="3"/>
      <c r="H65" s="3"/>
      <c r="I65" s="3"/>
      <c r="J65" s="3"/>
      <c r="K65" s="3"/>
    </row>
    <row r="66" spans="2:11" ht="12.75" customHeight="1" x14ac:dyDescent="0.15">
      <c r="B66" s="4" t="s">
        <v>66</v>
      </c>
    </row>
    <row r="68" spans="2:11" ht="14" x14ac:dyDescent="0.15">
      <c r="K68" s="5" t="s">
        <v>67</v>
      </c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E1ABC-5708-934F-A2ED-C43FB4B41E95}">
  <dimension ref="A1:N121"/>
  <sheetViews>
    <sheetView tabSelected="1" topLeftCell="A95" zoomScale="125" zoomScaleNormal="173" workbookViewId="0">
      <pane xSplit="1" topLeftCell="C1" activePane="topRight" state="frozen"/>
      <selection pane="topRight" activeCell="C118" sqref="C118"/>
    </sheetView>
  </sheetViews>
  <sheetFormatPr baseColWidth="10" defaultRowHeight="13" x14ac:dyDescent="0.15"/>
  <cols>
    <col min="1" max="1" width="74" style="20" bestFit="1" customWidth="1"/>
    <col min="2" max="2" width="18.33203125" style="20" bestFit="1" customWidth="1"/>
    <col min="3" max="3" width="17.33203125" style="20" bestFit="1" customWidth="1"/>
    <col min="4" max="6" width="15.6640625" style="20" bestFit="1" customWidth="1"/>
    <col min="7" max="8" width="16.33203125" style="20" bestFit="1" customWidth="1"/>
    <col min="9" max="9" width="16.33203125" style="20" customWidth="1"/>
    <col min="10" max="14" width="15.6640625" style="69" bestFit="1" customWidth="1"/>
    <col min="15" max="16384" width="10.83203125" style="20"/>
  </cols>
  <sheetData>
    <row r="1" spans="1:14" x14ac:dyDescent="0.15">
      <c r="I1" s="68"/>
    </row>
    <row r="2" spans="1:14" x14ac:dyDescent="0.15">
      <c r="A2" s="24" t="s">
        <v>23</v>
      </c>
      <c r="B2" s="24"/>
      <c r="C2" s="24"/>
      <c r="D2" s="24">
        <v>2020</v>
      </c>
      <c r="E2" s="24">
        <v>2021</v>
      </c>
      <c r="F2" s="24">
        <v>2022</v>
      </c>
      <c r="G2" s="24">
        <v>2023</v>
      </c>
      <c r="H2" s="24">
        <v>2024</v>
      </c>
      <c r="I2" s="31">
        <v>2025</v>
      </c>
      <c r="J2" s="30">
        <v>2026</v>
      </c>
      <c r="K2" s="30">
        <v>2027</v>
      </c>
      <c r="L2" s="30">
        <v>2028</v>
      </c>
      <c r="M2" s="30">
        <v>2029</v>
      </c>
      <c r="N2" s="30">
        <v>2030</v>
      </c>
    </row>
    <row r="3" spans="1:14" x14ac:dyDescent="0.15">
      <c r="A3" s="21" t="s">
        <v>1508</v>
      </c>
      <c r="D3" s="22">
        <v>105746422</v>
      </c>
      <c r="E3" s="22">
        <v>117610626</v>
      </c>
      <c r="F3" s="22">
        <v>142527535</v>
      </c>
      <c r="G3" s="22">
        <v>162663579</v>
      </c>
      <c r="H3" s="23">
        <v>175231153</v>
      </c>
      <c r="I3" s="32">
        <v>186254470</v>
      </c>
      <c r="J3" s="70">
        <f ca="1">I3*(1+J12)</f>
        <v>200148952.46554151</v>
      </c>
      <c r="K3" s="70">
        <f ca="1">J3*(1+K12)</f>
        <v>201598546.80956084</v>
      </c>
      <c r="L3" s="70">
        <f ca="1">K3*(1+L12)</f>
        <v>232429635.18500772</v>
      </c>
      <c r="M3" s="70">
        <f ca="1">L3*(1+M12)</f>
        <v>254796428.27814844</v>
      </c>
      <c r="N3" s="70">
        <f ca="1">M3*(1+N12)</f>
        <v>310542521.12540251</v>
      </c>
    </row>
    <row r="4" spans="1:14" x14ac:dyDescent="0.15">
      <c r="A4" s="21"/>
      <c r="D4" s="22"/>
      <c r="E4" s="22"/>
      <c r="F4" s="22"/>
      <c r="G4" s="22"/>
      <c r="H4" s="23"/>
      <c r="I4" s="32"/>
      <c r="J4" s="70"/>
      <c r="K4" s="70"/>
      <c r="L4" s="70"/>
      <c r="M4" s="70"/>
      <c r="N4" s="70"/>
    </row>
    <row r="5" spans="1:14" ht="14" thickBot="1" x14ac:dyDescent="0.2">
      <c r="A5" s="21" t="s">
        <v>1509</v>
      </c>
      <c r="D5" s="22">
        <v>88091409</v>
      </c>
      <c r="E5" s="22">
        <v>95680131</v>
      </c>
      <c r="F5" s="22">
        <v>114209483</v>
      </c>
      <c r="G5" s="22">
        <v>129179183</v>
      </c>
      <c r="H5" s="23">
        <v>139481946</v>
      </c>
      <c r="I5" s="23">
        <v>152037636</v>
      </c>
      <c r="J5" s="70">
        <f ca="1">I5*(1+J19)</f>
        <v>167785636.06115821</v>
      </c>
      <c r="K5" s="70">
        <f t="shared" ref="K5:N5" ca="1" si="0">J5*(1+K19)</f>
        <v>190485295.82872602</v>
      </c>
      <c r="L5" s="70">
        <f t="shared" ca="1" si="0"/>
        <v>214059801.86981204</v>
      </c>
      <c r="M5" s="70">
        <f t="shared" ca="1" si="0"/>
        <v>237417690.24466088</v>
      </c>
      <c r="N5" s="70">
        <f t="shared" ca="1" si="0"/>
        <v>267185179.34025946</v>
      </c>
    </row>
    <row r="6" spans="1:14" s="63" customFormat="1" ht="14" thickTop="1" x14ac:dyDescent="0.15">
      <c r="A6" s="60"/>
      <c r="D6" s="61"/>
      <c r="E6" s="61"/>
      <c r="F6" s="61"/>
      <c r="G6" s="61"/>
      <c r="H6" s="62"/>
      <c r="I6" s="62"/>
      <c r="J6" s="71"/>
      <c r="K6" s="71"/>
      <c r="L6" s="71"/>
      <c r="M6" s="71"/>
      <c r="N6" s="71"/>
    </row>
    <row r="7" spans="1:14" x14ac:dyDescent="0.15">
      <c r="A7" s="20" t="s">
        <v>1505</v>
      </c>
      <c r="D7" s="58">
        <f>D46/D5*360</f>
        <v>13.420490527061498</v>
      </c>
      <c r="E7" s="58">
        <f t="shared" ref="E7:I7" si="1">E46/E5*360</f>
        <v>11.84181656273025</v>
      </c>
      <c r="F7" s="58">
        <f t="shared" si="1"/>
        <v>13.488026383938715</v>
      </c>
      <c r="G7" s="58">
        <f t="shared" si="1"/>
        <v>13.048429947106881</v>
      </c>
      <c r="H7" s="58">
        <f t="shared" si="1"/>
        <v>15.248628951592059</v>
      </c>
      <c r="I7" s="58">
        <f t="shared" si="1"/>
        <v>20.364371095588464</v>
      </c>
      <c r="J7" s="72">
        <f>AVERAGE(G7:I7)</f>
        <v>16.220476664762469</v>
      </c>
      <c r="K7" s="72">
        <f t="shared" ref="K7:N9" si="2">AVERAGE(H7:J7)</f>
        <v>17.277825570647664</v>
      </c>
      <c r="L7" s="72">
        <f t="shared" si="2"/>
        <v>17.954224443666199</v>
      </c>
      <c r="M7" s="72">
        <f t="shared" si="2"/>
        <v>17.15084222635878</v>
      </c>
      <c r="N7" s="72">
        <f t="shared" si="2"/>
        <v>17.460964080224215</v>
      </c>
    </row>
    <row r="8" spans="1:14" x14ac:dyDescent="0.15">
      <c r="A8" s="20" t="s">
        <v>1506</v>
      </c>
      <c r="D8" s="58">
        <f>D48/D5*360</f>
        <v>46.317164026744081</v>
      </c>
      <c r="E8" s="58">
        <f t="shared" ref="E8:I8" si="3">E48/E5*360</f>
        <v>43.817151128273437</v>
      </c>
      <c r="F8" s="58">
        <f t="shared" si="3"/>
        <v>45.047378071048612</v>
      </c>
      <c r="G8" s="58">
        <f t="shared" si="3"/>
        <v>48.49174932465705</v>
      </c>
      <c r="H8" s="58">
        <f t="shared" si="3"/>
        <v>51.080177215193146</v>
      </c>
      <c r="I8" s="58">
        <f t="shared" si="3"/>
        <v>48.923614676566004</v>
      </c>
      <c r="J8" s="72">
        <f t="shared" ref="J8:J9" si="4">AVERAGE(G8:I8)</f>
        <v>49.4985137388054</v>
      </c>
      <c r="K8" s="72">
        <f t="shared" si="2"/>
        <v>49.834101876854845</v>
      </c>
      <c r="L8" s="72">
        <f t="shared" si="2"/>
        <v>49.418743430742076</v>
      </c>
      <c r="M8" s="72">
        <f t="shared" si="2"/>
        <v>49.583786348800771</v>
      </c>
      <c r="N8" s="72">
        <f t="shared" si="2"/>
        <v>49.612210552132559</v>
      </c>
    </row>
    <row r="9" spans="1:14" x14ac:dyDescent="0.15">
      <c r="A9" s="20" t="s">
        <v>1507</v>
      </c>
      <c r="D9" s="58">
        <f>D56/D5*360</f>
        <v>35.9347690760628</v>
      </c>
      <c r="E9" s="58">
        <f t="shared" ref="E9:I9" si="5">E56/E5*360</f>
        <v>34.44698251928606</v>
      </c>
      <c r="F9" s="58">
        <f t="shared" si="5"/>
        <v>34.033455873362108</v>
      </c>
      <c r="G9" s="58">
        <f t="shared" si="5"/>
        <v>30.521454528784254</v>
      </c>
      <c r="H9" s="58">
        <f t="shared" si="5"/>
        <v>32.390375167263585</v>
      </c>
      <c r="I9" s="58">
        <f t="shared" si="5"/>
        <v>29.094502100782464</v>
      </c>
      <c r="J9" s="72">
        <f t="shared" si="4"/>
        <v>30.6687772656101</v>
      </c>
      <c r="K9" s="72">
        <f t="shared" si="2"/>
        <v>30.717884844552049</v>
      </c>
      <c r="L9" s="72">
        <f t="shared" si="2"/>
        <v>30.16038807031487</v>
      </c>
      <c r="M9" s="72">
        <f t="shared" si="2"/>
        <v>30.515683393492338</v>
      </c>
      <c r="N9" s="72">
        <f t="shared" si="2"/>
        <v>30.46465210278642</v>
      </c>
    </row>
    <row r="10" spans="1:14" ht="14" thickBot="1" x14ac:dyDescent="0.2">
      <c r="A10" s="21"/>
      <c r="D10" s="22"/>
      <c r="E10" s="22"/>
      <c r="F10" s="22"/>
      <c r="G10" s="22"/>
      <c r="H10" s="23"/>
      <c r="I10" s="23"/>
      <c r="J10" s="70"/>
      <c r="K10" s="70"/>
      <c r="L10" s="70"/>
      <c r="M10" s="70"/>
      <c r="N10" s="70"/>
    </row>
    <row r="11" spans="1:14" s="63" customFormat="1" ht="14" thickTop="1" x14ac:dyDescent="0.15">
      <c r="A11" s="64" t="s">
        <v>1565</v>
      </c>
      <c r="J11" s="73"/>
      <c r="K11" s="73"/>
      <c r="L11" s="73"/>
      <c r="M11" s="73"/>
      <c r="N11" s="73"/>
    </row>
    <row r="12" spans="1:14" x14ac:dyDescent="0.15">
      <c r="A12" s="21" t="s">
        <v>1523</v>
      </c>
      <c r="E12" s="56">
        <f>E3/D3-1</f>
        <v>0.11219485043191346</v>
      </c>
      <c r="F12" s="56">
        <f>F3/E3-1</f>
        <v>0.2118593348869684</v>
      </c>
      <c r="G12" s="56">
        <f>G3/F3-1</f>
        <v>0.14127827300177476</v>
      </c>
      <c r="H12" s="56">
        <f>H3/G3-1</f>
        <v>7.7261142766322566E-2</v>
      </c>
      <c r="I12" s="74">
        <f>I3/H3-1</f>
        <v>6.2907290235087343E-2</v>
      </c>
      <c r="J12" s="59">
        <f ca="1">_xlfn.NORM.INV(RAND(),I14,I16)</f>
        <v>7.4599457750149728E-2</v>
      </c>
      <c r="K12" s="59">
        <f t="shared" ref="K12:N12" ca="1" si="6">_xlfn.NORM.INV(RAND(),J14,J16)</f>
        <v>7.2425777210546188E-3</v>
      </c>
      <c r="L12" s="59">
        <f t="shared" ca="1" si="6"/>
        <v>0.15293308837474584</v>
      </c>
      <c r="M12" s="59">
        <f t="shared" ca="1" si="6"/>
        <v>9.6230384199232438E-2</v>
      </c>
      <c r="N12" s="59">
        <f t="shared" ca="1" si="6"/>
        <v>0.21878679078813035</v>
      </c>
    </row>
    <row r="13" spans="1:14" x14ac:dyDescent="0.15">
      <c r="A13" s="21"/>
      <c r="E13" s="56"/>
      <c r="F13" s="56"/>
      <c r="G13" s="56"/>
      <c r="H13" s="56"/>
      <c r="I13" s="74"/>
    </row>
    <row r="14" spans="1:14" x14ac:dyDescent="0.15">
      <c r="A14" s="21" t="s">
        <v>1538</v>
      </c>
      <c r="E14" s="75">
        <f>AVERAGE(E12)</f>
        <v>0.11219485043191346</v>
      </c>
      <c r="F14" s="75">
        <f>AVERAGE($E$12:F12)</f>
        <v>0.16202709265944093</v>
      </c>
      <c r="G14" s="75">
        <f>AVERAGE($E$12:G12)</f>
        <v>0.15511081944021887</v>
      </c>
      <c r="H14" s="75">
        <f>AVERAGE($E$12:H12)</f>
        <v>0.1356484002717448</v>
      </c>
      <c r="I14" s="76">
        <f>AVERAGE($E$12:I12)</f>
        <v>0.1211001782644133</v>
      </c>
      <c r="J14" s="77">
        <f ca="1">AVERAGE($E$12:J12)</f>
        <v>0.11335005817870271</v>
      </c>
      <c r="K14" s="77">
        <f ca="1">AVERAGE($E$12:K12)</f>
        <v>9.819184668475299E-2</v>
      </c>
      <c r="L14" s="77">
        <f ca="1">AVERAGE($E$12:L12)</f>
        <v>0.10503450189600209</v>
      </c>
      <c r="M14" s="77">
        <f ca="1">AVERAGE($E$12:M12)</f>
        <v>0.10405626659636102</v>
      </c>
      <c r="N14" s="77">
        <f ca="1">AVERAGE($E$12:N12)</f>
        <v>0.11552931901553795</v>
      </c>
    </row>
    <row r="15" spans="1:14" x14ac:dyDescent="0.15">
      <c r="I15" s="68"/>
    </row>
    <row r="16" spans="1:14" x14ac:dyDescent="0.15">
      <c r="A16" s="20" t="s">
        <v>1539</v>
      </c>
      <c r="E16" s="56">
        <f>_xlfn.STDEV.P($E$12)</f>
        <v>0</v>
      </c>
      <c r="F16" s="56">
        <f>_xlfn.STDEV.P($E$12:F12)</f>
        <v>4.9832242227527468E-2</v>
      </c>
      <c r="G16" s="56">
        <f>_xlfn.STDEV.P($E$12:G12)</f>
        <v>4.1846998069568944E-2</v>
      </c>
      <c r="H16" s="56">
        <f>_xlfn.STDEV.P($E$12:H12)</f>
        <v>4.9494804931871812E-2</v>
      </c>
      <c r="I16" s="56">
        <f>_xlfn.STDEV.P($E$12:I12)</f>
        <v>5.2975386987672395E-2</v>
      </c>
      <c r="J16" s="59">
        <f ca="1">_xlfn.STDEV.P($E$12:J12)</f>
        <v>5.1371018049668635E-2</v>
      </c>
      <c r="K16" s="59">
        <f ca="1">_xlfn.STDEV.P($E$12:K12)</f>
        <v>6.0337487461254474E-2</v>
      </c>
      <c r="L16" s="59">
        <f ca="1">_xlfn.STDEV.P($E$12:L12)</f>
        <v>5.9273006979359104E-2</v>
      </c>
      <c r="M16" s="59">
        <f ca="1">_xlfn.STDEV.P($E$12:M12)</f>
        <v>5.5951581092451533E-2</v>
      </c>
      <c r="N16" s="59">
        <f ca="1">_xlfn.STDEV.P($E$12:N12)</f>
        <v>6.3262942315302551E-2</v>
      </c>
    </row>
    <row r="17" spans="1:14" ht="14" thickBot="1" x14ac:dyDescent="0.2"/>
    <row r="18" spans="1:14" s="63" customFormat="1" ht="14" thickTop="1" x14ac:dyDescent="0.15">
      <c r="A18" s="64" t="s">
        <v>1566</v>
      </c>
      <c r="J18" s="73"/>
      <c r="K18" s="73"/>
      <c r="L18" s="73"/>
      <c r="M18" s="73"/>
      <c r="N18" s="73"/>
    </row>
    <row r="19" spans="1:14" x14ac:dyDescent="0.15">
      <c r="A19" s="21" t="s">
        <v>1556</v>
      </c>
      <c r="E19" s="56">
        <f>E5/D5-1</f>
        <v>8.6145994100287338E-2</v>
      </c>
      <c r="F19" s="56">
        <f t="shared" ref="F19:I19" si="7">F5/E5-1</f>
        <v>0.19365935023646652</v>
      </c>
      <c r="G19" s="56">
        <f t="shared" si="7"/>
        <v>0.13107230333929443</v>
      </c>
      <c r="H19" s="56">
        <f t="shared" si="7"/>
        <v>7.9755598082703383E-2</v>
      </c>
      <c r="I19" s="56">
        <f t="shared" si="7"/>
        <v>9.0016596126354598E-2</v>
      </c>
      <c r="J19" s="59">
        <f ca="1">_xlfn.NORM.INV(RAND(),I21,I23)</f>
        <v>0.10357961670200004</v>
      </c>
      <c r="K19" s="59">
        <f t="shared" ref="K19:N19" ca="1" si="8">_xlfn.NORM.INV(RAND(),J21,J23)</f>
        <v>0.13528964874736796</v>
      </c>
      <c r="L19" s="59">
        <f t="shared" ca="1" si="8"/>
        <v>0.12376024059244403</v>
      </c>
      <c r="M19" s="59">
        <f t="shared" ca="1" si="8"/>
        <v>0.10911851814688109</v>
      </c>
      <c r="N19" s="59">
        <f t="shared" ca="1" si="8"/>
        <v>0.12538024889772514</v>
      </c>
    </row>
    <row r="20" spans="1:14" x14ac:dyDescent="0.15">
      <c r="A20" s="21"/>
      <c r="E20" s="56"/>
      <c r="F20" s="56"/>
      <c r="G20" s="56"/>
      <c r="H20" s="56"/>
      <c r="I20" s="56"/>
    </row>
    <row r="21" spans="1:14" x14ac:dyDescent="0.15">
      <c r="A21" s="21" t="s">
        <v>1557</v>
      </c>
      <c r="E21" s="56">
        <f>AVERAGE(E19)</f>
        <v>8.6145994100287338E-2</v>
      </c>
      <c r="F21" s="56">
        <f>AVERAGE($E$19:F19)</f>
        <v>0.13990267216837693</v>
      </c>
      <c r="G21" s="56">
        <f>AVERAGE($E$19:G19)</f>
        <v>0.1369592158920161</v>
      </c>
      <c r="H21" s="56">
        <f>AVERAGE($E$19:H19)</f>
        <v>0.12265831143968792</v>
      </c>
      <c r="I21" s="56">
        <f>AVERAGE($E$19:I19)</f>
        <v>0.11612996837702125</v>
      </c>
      <c r="J21" s="59">
        <f ca="1">AVERAGE($E$19:J19)</f>
        <v>0.11403824309785104</v>
      </c>
      <c r="K21" s="59">
        <f ca="1">AVERAGE($E$19:K19)</f>
        <v>0.11707415819063917</v>
      </c>
      <c r="L21" s="59">
        <f ca="1">AVERAGE($E$19:L19)</f>
        <v>0.11790991849086478</v>
      </c>
      <c r="M21" s="59">
        <f ca="1">AVERAGE($E$19:M19)</f>
        <v>0.11693309623042215</v>
      </c>
      <c r="N21" s="59">
        <f ca="1">AVERAGE($E$19:N19)</f>
        <v>0.11777781149715245</v>
      </c>
    </row>
    <row r="23" spans="1:14" x14ac:dyDescent="0.15">
      <c r="A23" s="20" t="s">
        <v>1558</v>
      </c>
      <c r="F23" s="56">
        <f>_xlfn.STDEV.P($E$21:F21)</f>
        <v>2.6878339034044775E-2</v>
      </c>
      <c r="G23" s="56">
        <f>_xlfn.STDEV.P($E$21:G21)</f>
        <v>2.4676637355609817E-2</v>
      </c>
      <c r="H23" s="56">
        <f>_xlfn.STDEV.P($E$21:H21)</f>
        <v>2.1382617127019575E-2</v>
      </c>
      <c r="I23" s="56">
        <f>_xlfn.STDEV.P($E$21:I21)</f>
        <v>1.9241744221744121E-2</v>
      </c>
      <c r="J23" s="59">
        <f ca="1">_xlfn.STDEV.P($E$21:J21)</f>
        <v>1.7722487401724579E-2</v>
      </c>
      <c r="K23" s="59">
        <f ca="1">_xlfn.STDEV.P($E$21:K21)</f>
        <v>1.6426406749273609E-2</v>
      </c>
      <c r="L23" s="59">
        <f ca="1">_xlfn.STDEV.P($E$21:L21)</f>
        <v>1.5369624445464988E-2</v>
      </c>
      <c r="M23" s="59">
        <f ca="1">_xlfn.STDEV.P($E$21:M21)</f>
        <v>1.4503168092176152E-2</v>
      </c>
      <c r="N23" s="59">
        <f ca="1">_xlfn.STDEV.P($E$21:N21)</f>
        <v>1.3761339117316572E-2</v>
      </c>
    </row>
    <row r="24" spans="1:14" ht="14" thickBot="1" x14ac:dyDescent="0.2"/>
    <row r="25" spans="1:14" s="63" customFormat="1" ht="14" thickTop="1" x14ac:dyDescent="0.15">
      <c r="J25" s="73"/>
      <c r="K25" s="73"/>
      <c r="L25" s="73"/>
      <c r="M25" s="73"/>
      <c r="N25" s="73"/>
    </row>
    <row r="27" spans="1:14" x14ac:dyDescent="0.15">
      <c r="A27" s="21" t="s">
        <v>1512</v>
      </c>
      <c r="D27" s="33"/>
      <c r="E27" s="33">
        <f>6678949</f>
        <v>6678949</v>
      </c>
      <c r="F27" s="33">
        <f>9824928</f>
        <v>9824928</v>
      </c>
      <c r="G27" s="33">
        <f>15126901</f>
        <v>15126901</v>
      </c>
      <c r="H27" s="33">
        <f>14239592</f>
        <v>14239592</v>
      </c>
      <c r="I27" s="33">
        <f>11467851</f>
        <v>11467851</v>
      </c>
      <c r="J27" s="70">
        <f ca="1">I27*(1+J31)</f>
        <v>12792559.818156995</v>
      </c>
      <c r="K27" s="70">
        <f t="shared" ref="K27:N27" ca="1" si="9">J27*(1+K31)</f>
        <v>14120046.329786513</v>
      </c>
      <c r="L27" s="70">
        <f t="shared" ca="1" si="9"/>
        <v>25261148.60026383</v>
      </c>
      <c r="M27" s="70">
        <f t="shared" ca="1" si="9"/>
        <v>28517421.409224082</v>
      </c>
      <c r="N27" s="70">
        <f ca="1">M27*(1+N31)</f>
        <v>25485773.480671734</v>
      </c>
    </row>
    <row r="28" spans="1:14" x14ac:dyDescent="0.15">
      <c r="A28" s="21"/>
      <c r="D28" s="33"/>
      <c r="E28" s="33"/>
      <c r="F28" s="33"/>
      <c r="G28" s="33"/>
      <c r="H28" s="33"/>
      <c r="I28" s="33"/>
      <c r="J28" s="70"/>
      <c r="K28" s="70"/>
      <c r="L28" s="70"/>
      <c r="M28" s="70"/>
      <c r="N28" s="70"/>
    </row>
    <row r="29" spans="1:14" x14ac:dyDescent="0.15">
      <c r="A29" s="21" t="s">
        <v>1577</v>
      </c>
      <c r="D29" s="33"/>
      <c r="E29" s="33">
        <f>6678949</f>
        <v>6678949</v>
      </c>
      <c r="F29" s="33">
        <f>9824928</f>
        <v>9824928</v>
      </c>
      <c r="G29" s="33">
        <f>15126901</f>
        <v>15126901</v>
      </c>
      <c r="H29" s="33">
        <f>14239592</f>
        <v>14239592</v>
      </c>
      <c r="I29" s="33">
        <f>11467851</f>
        <v>11467851</v>
      </c>
      <c r="J29" s="70">
        <f>AVERAGE(G29:I29)</f>
        <v>13611448</v>
      </c>
      <c r="K29" s="70">
        <f t="shared" ref="K29:N29" si="10">AVERAGE(H29:J29)</f>
        <v>13106297</v>
      </c>
      <c r="L29" s="70">
        <f t="shared" si="10"/>
        <v>12728532</v>
      </c>
      <c r="M29" s="70">
        <f t="shared" si="10"/>
        <v>13148759</v>
      </c>
      <c r="N29" s="70">
        <f t="shared" si="10"/>
        <v>12994529.333333334</v>
      </c>
    </row>
    <row r="30" spans="1:14" x14ac:dyDescent="0.15">
      <c r="A30" s="21"/>
      <c r="D30" s="33"/>
      <c r="E30" s="33"/>
      <c r="F30" s="33"/>
      <c r="G30" s="33"/>
      <c r="H30" s="33"/>
      <c r="I30" s="33"/>
    </row>
    <row r="31" spans="1:14" x14ac:dyDescent="0.15">
      <c r="A31" s="21" t="s">
        <v>1540</v>
      </c>
      <c r="D31" s="33"/>
      <c r="E31" s="78"/>
      <c r="F31" s="78">
        <f>F27/E27-1</f>
        <v>0.47102904963041348</v>
      </c>
      <c r="G31" s="78">
        <f t="shared" ref="G31:I31" si="11">G27/F27-1</f>
        <v>0.53964497246188481</v>
      </c>
      <c r="H31" s="78">
        <f t="shared" si="11"/>
        <v>-5.8657685404300608E-2</v>
      </c>
      <c r="I31" s="78">
        <f t="shared" si="11"/>
        <v>-0.19465031020551715</v>
      </c>
      <c r="J31" s="59">
        <f ca="1">_xlfn.NORM.INV(RAND(),I33,I35)</f>
        <v>0.11551500086258487</v>
      </c>
      <c r="K31" s="59">
        <f t="shared" ref="K31:M31" ca="1" si="12">_xlfn.NORM.INV(RAND(),J33,J35)</f>
        <v>0.10377020162496042</v>
      </c>
      <c r="L31" s="59">
        <f t="shared" ca="1" si="12"/>
        <v>0.78902731692706607</v>
      </c>
      <c r="M31" s="59">
        <f t="shared" ca="1" si="12"/>
        <v>0.1289043843764984</v>
      </c>
      <c r="N31" s="59">
        <f ca="1">_xlfn.NORM.INV(RAND(),M33,M35)</f>
        <v>-0.10630862745436545</v>
      </c>
    </row>
    <row r="32" spans="1:14" x14ac:dyDescent="0.15">
      <c r="A32" s="21"/>
      <c r="D32" s="33"/>
      <c r="E32" s="33"/>
      <c r="F32" s="33"/>
      <c r="G32" s="33"/>
      <c r="H32" s="33"/>
      <c r="I32" s="33"/>
    </row>
    <row r="33" spans="1:14" x14ac:dyDescent="0.15">
      <c r="A33" s="21" t="s">
        <v>1541</v>
      </c>
      <c r="D33" s="33"/>
      <c r="E33" s="79"/>
      <c r="F33" s="79">
        <f>AVERAGE($E$31:F31)</f>
        <v>0.47102904963041348</v>
      </c>
      <c r="G33" s="79">
        <f>AVERAGE($E$31:G31)</f>
        <v>0.50533701104614914</v>
      </c>
      <c r="H33" s="79">
        <f>AVERAGE($E$31:H31)</f>
        <v>0.31733877889599921</v>
      </c>
      <c r="I33" s="79">
        <f>AVERAGE($E$31:I31)</f>
        <v>0.18934150662062013</v>
      </c>
      <c r="J33" s="80">
        <f ca="1">AVERAGE($E$31:J31)</f>
        <v>0.17457620546901306</v>
      </c>
      <c r="K33" s="80">
        <f ca="1">AVERAGE($E$31:K31)</f>
        <v>0.16277520482833763</v>
      </c>
      <c r="L33" s="80">
        <f ca="1">AVERAGE($E$31:L31)</f>
        <v>0.25223979227101312</v>
      </c>
      <c r="M33" s="80">
        <f ca="1">AVERAGE($E$31:M31)</f>
        <v>0.23682286628419877</v>
      </c>
      <c r="N33" s="80">
        <f ca="1">AVERAGE($E$31:N31)</f>
        <v>0.19869714475769162</v>
      </c>
    </row>
    <row r="34" spans="1:14" x14ac:dyDescent="0.15">
      <c r="A34" s="21"/>
      <c r="D34" s="33"/>
      <c r="E34" s="33"/>
      <c r="F34" s="33"/>
      <c r="G34" s="33"/>
      <c r="H34" s="33"/>
      <c r="I34" s="33"/>
    </row>
    <row r="35" spans="1:14" x14ac:dyDescent="0.15">
      <c r="A35" s="21" t="s">
        <v>1542</v>
      </c>
      <c r="D35" s="33"/>
      <c r="E35" s="33"/>
      <c r="F35" s="78">
        <f>_xlfn.STDEV.P($E$31:F31)</f>
        <v>0</v>
      </c>
      <c r="G35" s="78">
        <f>_xlfn.STDEV.P($E$31:G31)</f>
        <v>3.4307961415735666E-2</v>
      </c>
      <c r="H35" s="78">
        <f>_xlfn.STDEV.P($E$31:H31)</f>
        <v>0.26734128262235474</v>
      </c>
      <c r="I35" s="78">
        <f>_xlfn.STDEV.P($E$31:I31)</f>
        <v>0.32055175272557301</v>
      </c>
      <c r="J35" s="81">
        <f ca="1">_xlfn.STDEV.P($E$31:J31)</f>
        <v>0.28822698938985597</v>
      </c>
      <c r="K35" s="81">
        <f ca="1">_xlfn.STDEV.P($E$31:K31)</f>
        <v>0.26443395380426515</v>
      </c>
      <c r="L35" s="81">
        <f ca="1">_xlfn.STDEV.P($E$31:L31)</f>
        <v>0.32857184833141112</v>
      </c>
      <c r="M35" s="81">
        <f ca="1">_xlfn.STDEV.P($E$31:M31)</f>
        <v>0.31004563909948846</v>
      </c>
      <c r="N35" s="81">
        <f ca="1">_xlfn.STDEV.P($E$31:N31)</f>
        <v>0.31157012280364205</v>
      </c>
    </row>
    <row r="37" spans="1:14" x14ac:dyDescent="0.15">
      <c r="A37" s="20" t="s">
        <v>1531</v>
      </c>
      <c r="D37" s="56"/>
      <c r="E37" s="56"/>
      <c r="F37" s="56">
        <f>F27/F3</f>
        <v>6.89335432623598E-2</v>
      </c>
      <c r="G37" s="56">
        <f>G27/G3</f>
        <v>9.2995009042558932E-2</v>
      </c>
      <c r="H37" s="56">
        <f>H27/H3</f>
        <v>8.1261760572904518E-2</v>
      </c>
      <c r="I37" s="56">
        <f>I27/I3</f>
        <v>6.1570876661376235E-2</v>
      </c>
      <c r="J37" s="59">
        <f ca="1">J27/J3</f>
        <v>6.3915197459549114E-2</v>
      </c>
      <c r="K37" s="59">
        <f t="shared" ref="J37:N37" ca="1" si="13">K27/K3</f>
        <v>7.0040417221484005E-2</v>
      </c>
      <c r="L37" s="59">
        <f t="shared" ca="1" si="13"/>
        <v>0.10868299380221734</v>
      </c>
      <c r="M37" s="59">
        <f t="shared" ca="1" si="13"/>
        <v>0.11192237505815053</v>
      </c>
      <c r="N37" s="59">
        <f t="shared" ca="1" si="13"/>
        <v>8.2068546968420253E-2</v>
      </c>
    </row>
    <row r="39" spans="1:14" x14ac:dyDescent="0.15">
      <c r="A39" s="21" t="s">
        <v>1543</v>
      </c>
      <c r="D39" s="56">
        <v>0.26600000000000001</v>
      </c>
      <c r="E39" s="56">
        <v>0.214</v>
      </c>
      <c r="F39" s="56">
        <v>0.27200000000000002</v>
      </c>
      <c r="G39" s="56">
        <v>0.28100000000000003</v>
      </c>
      <c r="H39" s="56">
        <v>0.34200000000000003</v>
      </c>
      <c r="I39" s="56">
        <v>0.223</v>
      </c>
      <c r="J39" s="77">
        <f>AVERAGE(D39:I39)</f>
        <v>0.26633333333333337</v>
      </c>
      <c r="K39" s="77">
        <f t="shared" ref="K39:N39" si="14">AVERAGE(E39:J39)</f>
        <v>0.2663888888888889</v>
      </c>
      <c r="L39" s="77">
        <f t="shared" si="14"/>
        <v>0.2751203703703704</v>
      </c>
      <c r="M39" s="77">
        <f t="shared" si="14"/>
        <v>0.27564043209876543</v>
      </c>
      <c r="N39" s="77">
        <f t="shared" si="14"/>
        <v>0.27474717078189309</v>
      </c>
    </row>
    <row r="40" spans="1:14" x14ac:dyDescent="0.15">
      <c r="D40" s="56"/>
      <c r="E40" s="56"/>
      <c r="F40" s="56"/>
      <c r="G40" s="56"/>
      <c r="H40" s="56"/>
      <c r="I40" s="56"/>
    </row>
    <row r="42" spans="1:14" x14ac:dyDescent="0.15">
      <c r="A42" s="24" t="s">
        <v>1</v>
      </c>
      <c r="B42" s="24"/>
      <c r="C42" s="24"/>
      <c r="D42" s="24">
        <v>2020</v>
      </c>
      <c r="E42" s="24">
        <v>2021</v>
      </c>
      <c r="F42" s="24">
        <v>2022</v>
      </c>
      <c r="G42" s="24">
        <v>2023</v>
      </c>
      <c r="H42" s="24">
        <v>2024</v>
      </c>
      <c r="I42" s="24">
        <v>2025</v>
      </c>
      <c r="J42" s="30">
        <v>2026</v>
      </c>
      <c r="K42" s="30">
        <v>2027</v>
      </c>
      <c r="L42" s="30">
        <v>2028</v>
      </c>
      <c r="M42" s="30">
        <v>2029</v>
      </c>
      <c r="N42" s="30">
        <v>2030</v>
      </c>
    </row>
    <row r="44" spans="1:14" x14ac:dyDescent="0.15">
      <c r="A44" s="21" t="s">
        <v>1525</v>
      </c>
    </row>
    <row r="46" spans="1:14" x14ac:dyDescent="0.15">
      <c r="A46" s="20" t="s">
        <v>1563</v>
      </c>
      <c r="C46" s="22"/>
      <c r="D46" s="22">
        <v>3283972</v>
      </c>
      <c r="E46" s="22">
        <v>3147296</v>
      </c>
      <c r="F46" s="22">
        <v>4279057</v>
      </c>
      <c r="G46" s="22">
        <v>4682182</v>
      </c>
      <c r="H46" s="22">
        <v>5908079</v>
      </c>
      <c r="I46" s="22">
        <v>8600419</v>
      </c>
      <c r="J46" s="70">
        <f ca="1">J3*J7/365</f>
        <v>8894551.8162848465</v>
      </c>
      <c r="K46" s="70">
        <f ca="1">K3*K7/365</f>
        <v>9542971.3070455901</v>
      </c>
      <c r="L46" s="70">
        <f ca="1">L3*L7/365</f>
        <v>11433133.801290637</v>
      </c>
      <c r="M46" s="70">
        <f ca="1">M3*M7/365</f>
        <v>11972529.702022642</v>
      </c>
      <c r="N46" s="70">
        <f ca="1">N3*N7/365</f>
        <v>14855813.169186091</v>
      </c>
    </row>
    <row r="47" spans="1:14" x14ac:dyDescent="0.15">
      <c r="C47" s="22"/>
      <c r="D47" s="22"/>
      <c r="E47" s="22"/>
      <c r="F47" s="22"/>
      <c r="G47" s="22"/>
      <c r="H47" s="22"/>
      <c r="I47" s="22"/>
    </row>
    <row r="48" spans="1:14" x14ac:dyDescent="0.15">
      <c r="A48" s="20" t="s">
        <v>1564</v>
      </c>
      <c r="C48" s="22"/>
      <c r="D48" s="22">
        <v>11333734</v>
      </c>
      <c r="E48" s="22">
        <v>11645641</v>
      </c>
      <c r="F48" s="22">
        <v>14291216</v>
      </c>
      <c r="G48" s="22">
        <v>17400346</v>
      </c>
      <c r="H48" s="22">
        <v>19791007</v>
      </c>
      <c r="I48" s="22">
        <v>20661752</v>
      </c>
      <c r="J48" s="70">
        <f ca="1">J5*J8/365</f>
        <v>22753807.155472446</v>
      </c>
      <c r="K48" s="70">
        <f t="shared" ref="K48:N48" ca="1" si="15">K5*K8/365</f>
        <v>26007297.639374156</v>
      </c>
      <c r="L48" s="70">
        <f t="shared" ca="1" si="15"/>
        <v>28982373.773807462</v>
      </c>
      <c r="M48" s="70">
        <f t="shared" ca="1" si="15"/>
        <v>32252241.174019251</v>
      </c>
      <c r="N48" s="70">
        <f t="shared" ca="1" si="15"/>
        <v>36316842.120104797</v>
      </c>
    </row>
    <row r="49" spans="1:14" x14ac:dyDescent="0.15">
      <c r="C49" s="22"/>
      <c r="D49" s="22"/>
      <c r="E49" s="22"/>
      <c r="F49" s="22"/>
      <c r="G49" s="22"/>
      <c r="H49" s="22"/>
      <c r="I49" s="22"/>
    </row>
    <row r="50" spans="1:14" x14ac:dyDescent="0.15">
      <c r="A50" s="20" t="s">
        <v>1559</v>
      </c>
      <c r="C50" s="22"/>
      <c r="D50" s="22">
        <v>2033371</v>
      </c>
      <c r="E50" s="22">
        <v>2081853</v>
      </c>
      <c r="F50" s="22">
        <v>2640553</v>
      </c>
      <c r="G50" s="22">
        <v>3150939</v>
      </c>
      <c r="H50" s="22">
        <v>3799870</v>
      </c>
      <c r="I50" s="22">
        <v>3870656</v>
      </c>
      <c r="J50" s="70">
        <f ca="1">I50/I3*J3</f>
        <v>4159404.8387373635</v>
      </c>
      <c r="K50" s="70">
        <f t="shared" ref="K50:N50" ca="1" si="16">J50/J3*K3</f>
        <v>4189529.651555249</v>
      </c>
      <c r="L50" s="70">
        <f t="shared" ca="1" si="16"/>
        <v>4830247.3600051655</v>
      </c>
      <c r="M50" s="70">
        <f t="shared" ca="1" si="16"/>
        <v>5295063.9192357911</v>
      </c>
      <c r="N50" s="70">
        <f t="shared" ca="1" si="16"/>
        <v>6453553.961143408</v>
      </c>
    </row>
    <row r="51" spans="1:14" x14ac:dyDescent="0.15">
      <c r="C51" s="22"/>
      <c r="D51" s="22"/>
      <c r="E51" s="22"/>
      <c r="F51" s="22"/>
      <c r="G51" s="22"/>
      <c r="H51" s="22"/>
      <c r="I51" s="23"/>
    </row>
    <row r="52" spans="1:14" x14ac:dyDescent="0.15">
      <c r="C52" s="22"/>
      <c r="D52" s="22"/>
      <c r="E52" s="22"/>
      <c r="F52" s="22"/>
      <c r="G52" s="22"/>
      <c r="H52" s="22"/>
      <c r="I52" s="23"/>
    </row>
    <row r="53" spans="1:14" x14ac:dyDescent="0.15">
      <c r="C53" s="22"/>
      <c r="D53" s="22"/>
      <c r="E53" s="22"/>
      <c r="F53" s="22"/>
      <c r="G53" s="22"/>
      <c r="H53" s="22"/>
      <c r="I53" s="23"/>
    </row>
    <row r="54" spans="1:14" x14ac:dyDescent="0.15">
      <c r="A54" s="21" t="s">
        <v>1526</v>
      </c>
      <c r="C54" s="22"/>
      <c r="D54" s="22"/>
      <c r="E54" s="22"/>
      <c r="F54" s="22"/>
      <c r="G54" s="22"/>
      <c r="H54" s="22"/>
      <c r="I54" s="23"/>
    </row>
    <row r="55" spans="1:14" x14ac:dyDescent="0.15">
      <c r="C55" s="22"/>
      <c r="D55" s="22"/>
      <c r="E55" s="22"/>
      <c r="F55" s="22"/>
      <c r="G55" s="22"/>
      <c r="H55" s="22"/>
      <c r="I55" s="23"/>
    </row>
    <row r="56" spans="1:14" x14ac:dyDescent="0.15">
      <c r="A56" s="20" t="s">
        <v>1562</v>
      </c>
      <c r="C56" s="22"/>
      <c r="D56" s="22">
        <v>8793179</v>
      </c>
      <c r="E56" s="22">
        <v>9155255</v>
      </c>
      <c r="F56" s="22">
        <v>10797065</v>
      </c>
      <c r="G56" s="22">
        <v>10952046</v>
      </c>
      <c r="H56" s="22">
        <v>12549646</v>
      </c>
      <c r="I56" s="22">
        <v>12287387</v>
      </c>
      <c r="J56" s="70">
        <f ca="1">J5*J9/365</f>
        <v>14098028.221173642</v>
      </c>
      <c r="K56" s="70">
        <f t="shared" ref="K56:N56" ca="1" si="17">K5*K9/365</f>
        <v>16030973.64889654</v>
      </c>
      <c r="L56" s="70">
        <f t="shared" ca="1" si="17"/>
        <v>17688018.341502037</v>
      </c>
      <c r="M56" s="70">
        <f t="shared" ca="1" si="17"/>
        <v>19849213.883617274</v>
      </c>
      <c r="N56" s="70">
        <f t="shared" ca="1" si="17"/>
        <v>22300557.631840006</v>
      </c>
    </row>
    <row r="57" spans="1:14" x14ac:dyDescent="0.15">
      <c r="A57" s="20" t="s">
        <v>1560</v>
      </c>
      <c r="C57" s="22"/>
      <c r="D57" s="22">
        <v>6123714</v>
      </c>
      <c r="E57" s="22">
        <v>6335645</v>
      </c>
      <c r="F57" s="22">
        <v>8277891</v>
      </c>
      <c r="G57" s="22">
        <v>8642808</v>
      </c>
      <c r="H57" s="22">
        <v>9532876</v>
      </c>
      <c r="I57" s="22">
        <v>9774921</v>
      </c>
      <c r="J57" s="70">
        <f>AVERAGE(G57:I57)</f>
        <v>9316868.333333334</v>
      </c>
      <c r="K57" s="70">
        <f t="shared" ref="K57:N57" si="18">AVERAGE(H57:J57)</f>
        <v>9541555.1111111119</v>
      </c>
      <c r="L57" s="70">
        <f t="shared" si="18"/>
        <v>9544448.1481481493</v>
      </c>
      <c r="M57" s="70">
        <f t="shared" si="18"/>
        <v>9467623.8641975317</v>
      </c>
      <c r="N57" s="70">
        <f t="shared" si="18"/>
        <v>9517875.707818931</v>
      </c>
    </row>
    <row r="58" spans="1:14" x14ac:dyDescent="0.15">
      <c r="A58" s="20" t="s">
        <v>1561</v>
      </c>
      <c r="C58" s="22"/>
      <c r="D58" s="22">
        <v>7292585</v>
      </c>
      <c r="E58" s="22">
        <v>7440120</v>
      </c>
      <c r="F58" s="22">
        <v>8600241</v>
      </c>
      <c r="G58" s="22">
        <v>10577033</v>
      </c>
      <c r="H58" s="22">
        <v>11459928</v>
      </c>
      <c r="I58" s="22">
        <v>14675349</v>
      </c>
      <c r="J58" s="70">
        <f ca="1">AVERAGE(G58:I58)/AVERAGE(G3:I3)*J3</f>
        <v>14018776.258845137</v>
      </c>
      <c r="K58" s="70">
        <f ca="1">AVERAGE(H58:J58)/AVERAGE(H3:J3)*K3</f>
        <v>14413284.25833988</v>
      </c>
      <c r="L58" s="70">
        <f t="shared" ref="L58:N58" ca="1" si="19">AVERAGE(I58:K58)/AVERAGE(I3:K3)*L3</f>
        <v>17039805.972422436</v>
      </c>
      <c r="M58" s="70">
        <f t="shared" ca="1" si="19"/>
        <v>18269452.711435743</v>
      </c>
      <c r="N58" s="70">
        <f t="shared" ca="1" si="19"/>
        <v>22416393.97280382</v>
      </c>
    </row>
    <row r="62" spans="1:14" x14ac:dyDescent="0.15">
      <c r="A62" s="20" t="s">
        <v>1528</v>
      </c>
      <c r="C62" s="22"/>
      <c r="D62" s="22">
        <f>SUM(D46:D50)-SUM(D56:D58)</f>
        <v>-5558401</v>
      </c>
      <c r="E62" s="22">
        <f>SUM(E46:E50)-SUM(E56:E58)</f>
        <v>-6056230</v>
      </c>
      <c r="F62" s="22">
        <f>SUM(F46:F50)-SUM(F56:F58)</f>
        <v>-6464371</v>
      </c>
      <c r="G62" s="22">
        <f>SUM(G46:G50)-SUM(G56:G58)</f>
        <v>-4938420</v>
      </c>
      <c r="H62" s="22">
        <f>SUM(H46:H50)-SUM(H56:H58)</f>
        <v>-4043494</v>
      </c>
      <c r="I62" s="22">
        <f>SUM(I46:I50)-SUM(I56:I58)</f>
        <v>-3604830</v>
      </c>
      <c r="J62" s="70">
        <f t="shared" ref="J62:N62" ca="1" si="20">SUM(J46:J50)-SUM(J56:J58)</f>
        <v>-1625909.0028574616</v>
      </c>
      <c r="K62" s="70">
        <f t="shared" ca="1" si="20"/>
        <v>-246014.42037253827</v>
      </c>
      <c r="L62" s="70">
        <f t="shared" ca="1" si="20"/>
        <v>973482.47303063422</v>
      </c>
      <c r="M62" s="70">
        <f t="shared" ca="1" si="20"/>
        <v>1933544.3360271305</v>
      </c>
      <c r="N62" s="70">
        <f t="shared" ca="1" si="20"/>
        <v>3391381.9379715323</v>
      </c>
    </row>
    <row r="64" spans="1:14" x14ac:dyDescent="0.15">
      <c r="A64" s="21" t="s">
        <v>1527</v>
      </c>
      <c r="D64" s="22"/>
      <c r="E64" s="22">
        <f>E62-D62</f>
        <v>-497829</v>
      </c>
      <c r="F64" s="22">
        <f t="shared" ref="F64:N64" si="21">F62-E62</f>
        <v>-408141</v>
      </c>
      <c r="G64" s="22">
        <f t="shared" si="21"/>
        <v>1525951</v>
      </c>
      <c r="H64" s="22">
        <f t="shared" si="21"/>
        <v>894926</v>
      </c>
      <c r="I64" s="22">
        <f t="shared" si="21"/>
        <v>438664</v>
      </c>
      <c r="J64" s="70">
        <f t="shared" ca="1" si="21"/>
        <v>1978920.9971425384</v>
      </c>
      <c r="K64" s="70">
        <f t="shared" ca="1" si="21"/>
        <v>1379894.5824849233</v>
      </c>
      <c r="L64" s="70">
        <f t="shared" ca="1" si="21"/>
        <v>1219496.8934031725</v>
      </c>
      <c r="M64" s="70">
        <f t="shared" ca="1" si="21"/>
        <v>960061.86299649626</v>
      </c>
      <c r="N64" s="70">
        <f t="shared" ca="1" si="21"/>
        <v>1457837.6019444019</v>
      </c>
    </row>
    <row r="65" spans="1:14" x14ac:dyDescent="0.15">
      <c r="A65" s="20" t="s">
        <v>1532</v>
      </c>
      <c r="D65" s="56">
        <f>D64/D3</f>
        <v>0</v>
      </c>
      <c r="E65" s="56">
        <f>E64/E3</f>
        <v>-4.2328573270241756E-3</v>
      </c>
      <c r="F65" s="56">
        <f>F64/F3</f>
        <v>-2.8635940416706146E-3</v>
      </c>
      <c r="G65" s="56">
        <f>G64/G3</f>
        <v>9.3810243779278955E-3</v>
      </c>
      <c r="H65" s="56">
        <f>H64/H3</f>
        <v>5.1071169976265578E-3</v>
      </c>
      <c r="I65" s="56">
        <f>I64/I3</f>
        <v>2.355186428545849E-3</v>
      </c>
      <c r="J65" s="59">
        <f t="shared" ref="J65:N65" ca="1" si="22">J64/J3</f>
        <v>9.887241340837084E-3</v>
      </c>
      <c r="K65" s="59">
        <f t="shared" ca="1" si="22"/>
        <v>6.8447645299171455E-3</v>
      </c>
      <c r="L65" s="59">
        <f t="shared" ca="1" si="22"/>
        <v>5.2467358236503959E-3</v>
      </c>
      <c r="M65" s="59">
        <f t="shared" ca="1" si="22"/>
        <v>3.7679565191881146E-3</v>
      </c>
      <c r="N65" s="59">
        <f t="shared" ca="1" si="22"/>
        <v>4.6944862708694938E-3</v>
      </c>
    </row>
    <row r="68" spans="1:14" x14ac:dyDescent="0.15">
      <c r="A68" s="24" t="s">
        <v>1524</v>
      </c>
      <c r="B68" s="24"/>
      <c r="C68" s="24"/>
      <c r="D68" s="24">
        <v>2020</v>
      </c>
      <c r="E68" s="24">
        <v>2021</v>
      </c>
      <c r="F68" s="24">
        <v>2022</v>
      </c>
      <c r="G68" s="24">
        <v>2023</v>
      </c>
      <c r="H68" s="24">
        <v>2024</v>
      </c>
      <c r="I68" s="24">
        <v>2025</v>
      </c>
      <c r="J68" s="30">
        <v>2026</v>
      </c>
      <c r="K68" s="30">
        <v>2027</v>
      </c>
      <c r="L68" s="30">
        <v>2028</v>
      </c>
      <c r="M68" s="30">
        <v>2029</v>
      </c>
      <c r="N68" s="30">
        <v>2030</v>
      </c>
    </row>
    <row r="71" spans="1:14" x14ac:dyDescent="0.15">
      <c r="A71" s="21" t="s">
        <v>1510</v>
      </c>
      <c r="D71" s="23">
        <f>2749513+1435860</f>
        <v>4185373</v>
      </c>
      <c r="E71" s="23">
        <f>2937914+1617823</f>
        <v>4555737</v>
      </c>
      <c r="F71" s="23">
        <f>3180687+1866935</f>
        <v>5047622</v>
      </c>
      <c r="G71" s="23">
        <f>3283730+1662765</f>
        <v>4946495</v>
      </c>
      <c r="H71" s="23">
        <f>3397606+889400</f>
        <v>4287006</v>
      </c>
      <c r="I71" s="23">
        <f>3744754+1271730</f>
        <v>5016484</v>
      </c>
      <c r="J71" s="70">
        <f>I71*(1+J73)</f>
        <v>5248869.1606352152</v>
      </c>
      <c r="K71" s="70">
        <f t="shared" ref="K71:N71" si="23">J71*(1+K73)</f>
        <v>5492019.403523948</v>
      </c>
      <c r="L71" s="70">
        <f t="shared" si="23"/>
        <v>5746433.4136752086</v>
      </c>
      <c r="M71" s="70">
        <f t="shared" si="23"/>
        <v>6012632.9773370251</v>
      </c>
      <c r="N71" s="70">
        <f t="shared" si="23"/>
        <v>6291164.0521454085</v>
      </c>
    </row>
    <row r="72" spans="1:14" x14ac:dyDescent="0.15">
      <c r="A72" s="21" t="s">
        <v>1554</v>
      </c>
      <c r="D72" s="23"/>
      <c r="E72" s="56">
        <f>E71/D71-1</f>
        <v>8.8490082007027793E-2</v>
      </c>
      <c r="F72" s="56">
        <f t="shared" ref="F72:I72" si="24">F71/E71-1</f>
        <v>0.10797045571331276</v>
      </c>
      <c r="G72" s="56">
        <f t="shared" si="24"/>
        <v>-2.0034582621281882E-2</v>
      </c>
      <c r="H72" s="56">
        <f t="shared" si="24"/>
        <v>-0.13332450553371633</v>
      </c>
      <c r="I72" s="56">
        <f t="shared" si="24"/>
        <v>0.17016024703487709</v>
      </c>
    </row>
    <row r="73" spans="1:14" x14ac:dyDescent="0.15">
      <c r="A73" s="21" t="s">
        <v>1555</v>
      </c>
      <c r="D73" s="23"/>
      <c r="E73" s="56">
        <f>AVERAGE(E72)</f>
        <v>8.8490082007027793E-2</v>
      </c>
      <c r="F73" s="56">
        <f>((1+F72)*(1+E72))^(1/2)-1</f>
        <v>9.8187075229328791E-2</v>
      </c>
      <c r="G73" s="56">
        <f>((1+G72)*(1+F72)*(1+E72))^(1/3)-1</f>
        <v>5.7274607796409027E-2</v>
      </c>
      <c r="H73" s="56">
        <f>((1+H72)*(1+G72)*(1+F72)*(1+E72))^(1/4)-1</f>
        <v>6.0162150090672384E-3</v>
      </c>
      <c r="I73" s="56">
        <f>((1+I72)*(1+H72)*(1+G72)*(1+F72)*(1+E72))^(1/4)-1</f>
        <v>4.6324310141369063E-2</v>
      </c>
      <c r="J73" s="59">
        <f>((1+I72)*(1+H72)*(1+G72)*(1+F72)*(1+E72))^(1/4)-1</f>
        <v>4.6324310141369063E-2</v>
      </c>
      <c r="K73" s="59">
        <f>((1+I72)*(1+H72)*(1+G72)*(1+F72)*(1+E72))^(1/4)-1</f>
        <v>4.6324310141369063E-2</v>
      </c>
      <c r="L73" s="59">
        <f>((1+I72)*(1+H72)*(1+G72)*(1+F72)*(1+E72))^(1/4)-1</f>
        <v>4.6324310141369063E-2</v>
      </c>
      <c r="M73" s="59">
        <f>((1+I72)*(1+H72)*(1+G72)*(1+F72)*(1+E72))^(1/4)-1</f>
        <v>4.6324310141369063E-2</v>
      </c>
      <c r="N73" s="59">
        <f>((1+I72)*(1+H72)*(1+G72)*(1+F72)*(1+E72))^(1/4)-1</f>
        <v>4.6324310141369063E-2</v>
      </c>
    </row>
    <row r="74" spans="1:14" x14ac:dyDescent="0.15">
      <c r="A74" s="21"/>
      <c r="D74" s="23"/>
      <c r="E74" s="56"/>
      <c r="F74" s="56"/>
      <c r="G74" s="56"/>
      <c r="H74" s="56"/>
      <c r="I74" s="56"/>
    </row>
    <row r="75" spans="1:14" x14ac:dyDescent="0.15">
      <c r="A75" s="20" t="s">
        <v>1532</v>
      </c>
      <c r="D75" s="56">
        <f>D71/D3</f>
        <v>3.9579334419466219E-2</v>
      </c>
      <c r="E75" s="56">
        <f>E71/E3</f>
        <v>3.8735760151467943E-2</v>
      </c>
      <c r="F75" s="56">
        <f>F71/F3</f>
        <v>3.5415065587151282E-2</v>
      </c>
      <c r="G75" s="56">
        <f>G71/G3</f>
        <v>3.0409357954677734E-2</v>
      </c>
      <c r="H75" s="56">
        <f>H71/H3</f>
        <v>2.4464862135558738E-2</v>
      </c>
      <c r="I75" s="56">
        <f>I71/I3</f>
        <v>2.6933495877978123E-2</v>
      </c>
      <c r="J75" s="59">
        <f t="shared" ref="J75:M75" ca="1" si="25">J71/J3</f>
        <v>2.622481454924868E-2</v>
      </c>
      <c r="K75" s="59">
        <f t="shared" ca="1" si="25"/>
        <v>2.724235611039379E-2</v>
      </c>
      <c r="L75" s="59">
        <f t="shared" ca="1" si="25"/>
        <v>2.4723325014476757E-2</v>
      </c>
      <c r="M75" s="59">
        <f t="shared" ca="1" si="25"/>
        <v>2.3597791452450567E-2</v>
      </c>
      <c r="N75" s="59">
        <f ca="1">N71/N3</f>
        <v>2.0258623615684906E-2</v>
      </c>
    </row>
    <row r="76" spans="1:14" x14ac:dyDescent="0.15">
      <c r="D76" s="56"/>
      <c r="E76" s="56"/>
      <c r="F76" s="56"/>
      <c r="G76" s="56"/>
      <c r="H76" s="56"/>
      <c r="I76" s="56"/>
    </row>
    <row r="78" spans="1:14" x14ac:dyDescent="0.15">
      <c r="A78" s="20" t="s">
        <v>1511</v>
      </c>
      <c r="D78" s="23">
        <f>4687842+1701608</f>
        <v>6389450</v>
      </c>
      <c r="E78" s="23">
        <f>4304334+1556993</f>
        <v>5861327</v>
      </c>
      <c r="F78" s="23">
        <f>4014969+1718733</f>
        <v>5733702</v>
      </c>
      <c r="G78" s="23">
        <f>7070758+1780423</f>
        <v>8851181</v>
      </c>
      <c r="H78" s="23">
        <f>8061333+2306122</f>
        <v>10367455</v>
      </c>
      <c r="I78" s="23">
        <f>2703092+8366764</f>
        <v>11069856</v>
      </c>
      <c r="J78" s="70">
        <f ca="1">J3*J79</f>
        <v>11542758.484076921</v>
      </c>
      <c r="K78" s="70">
        <f ca="1">K3*K79</f>
        <v>11845213.899975482</v>
      </c>
      <c r="L78" s="70">
        <f t="shared" ref="L78:N78" ca="1" si="26">L3*L79</f>
        <v>13625128.122936856</v>
      </c>
      <c r="M78" s="70">
        <f t="shared" ca="1" si="26"/>
        <v>14867178.706039779</v>
      </c>
      <c r="N78" s="70">
        <f t="shared" ca="1" si="26"/>
        <v>18190145.208157934</v>
      </c>
    </row>
    <row r="79" spans="1:14" x14ac:dyDescent="0.15">
      <c r="A79" s="20" t="s">
        <v>1532</v>
      </c>
      <c r="D79" s="56">
        <f>D78/D3</f>
        <v>6.0422375331053754E-2</v>
      </c>
      <c r="E79" s="56">
        <f>E78/E3</f>
        <v>4.9836712883409018E-2</v>
      </c>
      <c r="F79" s="56">
        <f>F78/F3</f>
        <v>4.0228731942918962E-2</v>
      </c>
      <c r="G79" s="56">
        <f>G78/G3</f>
        <v>5.4414030813867684E-2</v>
      </c>
      <c r="H79" s="56">
        <f>H78/H3</f>
        <v>5.9164451197784448E-2</v>
      </c>
      <c r="I79" s="56">
        <f>I78/I3</f>
        <v>5.9434042039366891E-2</v>
      </c>
      <c r="J79" s="77">
        <f>AVERAGE(G79:I79)</f>
        <v>5.7670841350339674E-2</v>
      </c>
      <c r="K79" s="77">
        <f t="shared" ref="K79:N79" si="27">AVERAGE(H79:J79)</f>
        <v>5.8756444862497002E-2</v>
      </c>
      <c r="L79" s="77">
        <f t="shared" si="27"/>
        <v>5.8620442750734525E-2</v>
      </c>
      <c r="M79" s="77">
        <f t="shared" si="27"/>
        <v>5.834924298785707E-2</v>
      </c>
      <c r="N79" s="77">
        <f t="shared" si="27"/>
        <v>5.8575376867029537E-2</v>
      </c>
    </row>
    <row r="81" spans="1:14" x14ac:dyDescent="0.15">
      <c r="A81" s="24" t="s">
        <v>1529</v>
      </c>
      <c r="B81" s="24"/>
      <c r="C81" s="24"/>
      <c r="D81" s="24">
        <v>2020</v>
      </c>
      <c r="E81" s="24">
        <v>2021</v>
      </c>
      <c r="F81" s="24">
        <v>2022</v>
      </c>
      <c r="G81" s="24">
        <v>2023</v>
      </c>
      <c r="H81" s="24">
        <v>2024</v>
      </c>
      <c r="I81" s="24">
        <v>2025</v>
      </c>
      <c r="J81" s="30">
        <v>2026</v>
      </c>
      <c r="K81" s="30">
        <v>2027</v>
      </c>
      <c r="L81" s="30">
        <v>2028</v>
      </c>
      <c r="M81" s="30">
        <v>2029</v>
      </c>
      <c r="N81" s="30">
        <v>2030</v>
      </c>
    </row>
    <row r="82" spans="1:14" x14ac:dyDescent="0.15">
      <c r="A82" s="24" t="s">
        <v>1567</v>
      </c>
      <c r="B82" s="24"/>
      <c r="C82" s="24"/>
      <c r="D82" s="24">
        <v>0</v>
      </c>
      <c r="E82" s="24">
        <v>1</v>
      </c>
      <c r="F82" s="24">
        <v>2</v>
      </c>
      <c r="G82" s="24">
        <v>3</v>
      </c>
      <c r="H82" s="24">
        <v>4</v>
      </c>
      <c r="I82" s="24">
        <v>5</v>
      </c>
      <c r="J82" s="30">
        <v>6</v>
      </c>
      <c r="K82" s="30">
        <v>7</v>
      </c>
      <c r="L82" s="30">
        <v>8</v>
      </c>
      <c r="M82" s="30">
        <v>9</v>
      </c>
      <c r="N82" s="30">
        <v>10</v>
      </c>
    </row>
    <row r="84" spans="1:14" x14ac:dyDescent="0.15">
      <c r="A84" s="20" t="s">
        <v>1530</v>
      </c>
      <c r="D84" s="22">
        <f>D27*(1-D39)</f>
        <v>0</v>
      </c>
      <c r="E84" s="22">
        <f>E27*(1-E39)</f>
        <v>5249653.9139999999</v>
      </c>
      <c r="F84" s="22">
        <f>F27*(1-F39)</f>
        <v>7152547.5839999998</v>
      </c>
      <c r="G84" s="22">
        <f>G27*(1-G39)</f>
        <v>10876241.819</v>
      </c>
      <c r="H84" s="22">
        <f>H27*(1-H39)</f>
        <v>9369651.5359999985</v>
      </c>
      <c r="I84" s="22">
        <f>I27*(1-I39)</f>
        <v>8910520.227</v>
      </c>
      <c r="J84" s="70">
        <f ca="1">J27*(1-J39)</f>
        <v>9385474.7199211828</v>
      </c>
      <c r="K84" s="70">
        <f t="shared" ref="K84:N84" ca="1" si="28">K27*(1-K39)</f>
        <v>10358622.87693505</v>
      </c>
      <c r="L84" s="70">
        <f t="shared" ca="1" si="28"/>
        <v>18311292.041378282</v>
      </c>
      <c r="M84" s="70">
        <f t="shared" ca="1" si="28"/>
        <v>20656867.049642973</v>
      </c>
      <c r="N84" s="70">
        <f t="shared" ca="1" si="28"/>
        <v>18483629.321668975</v>
      </c>
    </row>
    <row r="86" spans="1:14" x14ac:dyDescent="0.15">
      <c r="A86" s="29" t="s">
        <v>1533</v>
      </c>
      <c r="D86" s="22">
        <f>D71</f>
        <v>4185373</v>
      </c>
      <c r="E86" s="22">
        <f t="shared" ref="E86:I86" si="29">E71</f>
        <v>4555737</v>
      </c>
      <c r="F86" s="22">
        <f t="shared" si="29"/>
        <v>5047622</v>
      </c>
      <c r="G86" s="22">
        <f t="shared" si="29"/>
        <v>4946495</v>
      </c>
      <c r="H86" s="22">
        <f t="shared" si="29"/>
        <v>4287006</v>
      </c>
      <c r="I86" s="22">
        <f t="shared" si="29"/>
        <v>5016484</v>
      </c>
      <c r="J86" s="70">
        <f t="shared" ref="J86:N86" si="30">J71</f>
        <v>5248869.1606352152</v>
      </c>
      <c r="K86" s="70">
        <f t="shared" si="30"/>
        <v>5492019.403523948</v>
      </c>
      <c r="L86" s="70">
        <f t="shared" si="30"/>
        <v>5746433.4136752086</v>
      </c>
      <c r="M86" s="70">
        <f t="shared" si="30"/>
        <v>6012632.9773370251</v>
      </c>
      <c r="N86" s="70">
        <f t="shared" si="30"/>
        <v>6291164.0521454085</v>
      </c>
    </row>
    <row r="88" spans="1:14" x14ac:dyDescent="0.15">
      <c r="A88" s="29" t="s">
        <v>1536</v>
      </c>
      <c r="D88" s="22">
        <f>-D78</f>
        <v>-6389450</v>
      </c>
      <c r="E88" s="22">
        <f t="shared" ref="E88:I88" si="31">-E78</f>
        <v>-5861327</v>
      </c>
      <c r="F88" s="22">
        <f t="shared" si="31"/>
        <v>-5733702</v>
      </c>
      <c r="G88" s="22">
        <f t="shared" si="31"/>
        <v>-8851181</v>
      </c>
      <c r="H88" s="22">
        <f t="shared" si="31"/>
        <v>-10367455</v>
      </c>
      <c r="I88" s="22">
        <f t="shared" si="31"/>
        <v>-11069856</v>
      </c>
      <c r="J88" s="70">
        <f ca="1">-J78</f>
        <v>-11542758.484076921</v>
      </c>
      <c r="K88" s="70">
        <f t="shared" ref="K88:M88" ca="1" si="32">-K78</f>
        <v>-11845213.899975482</v>
      </c>
      <c r="L88" s="70">
        <f t="shared" ca="1" si="32"/>
        <v>-13625128.122936856</v>
      </c>
      <c r="M88" s="70">
        <f t="shared" ca="1" si="32"/>
        <v>-14867178.706039779</v>
      </c>
      <c r="N88" s="70">
        <f ca="1">-N78</f>
        <v>-18190145.208157934</v>
      </c>
    </row>
    <row r="90" spans="1:14" x14ac:dyDescent="0.15">
      <c r="A90" s="29" t="s">
        <v>1537</v>
      </c>
      <c r="D90" s="22">
        <f>-D64</f>
        <v>0</v>
      </c>
      <c r="E90" s="22">
        <f t="shared" ref="E90:H90" si="33">-E64</f>
        <v>497829</v>
      </c>
      <c r="F90" s="22">
        <f t="shared" si="33"/>
        <v>408141</v>
      </c>
      <c r="G90" s="22">
        <f t="shared" si="33"/>
        <v>-1525951</v>
      </c>
      <c r="H90" s="22">
        <f t="shared" si="33"/>
        <v>-894926</v>
      </c>
      <c r="I90" s="22">
        <f>-I64</f>
        <v>-438664</v>
      </c>
      <c r="J90" s="70">
        <f t="shared" ref="J90:N90" ca="1" si="34">-J64</f>
        <v>-1978920.9971425384</v>
      </c>
      <c r="K90" s="70">
        <f t="shared" ca="1" si="34"/>
        <v>-1379894.5824849233</v>
      </c>
      <c r="L90" s="70">
        <f t="shared" ca="1" si="34"/>
        <v>-1219496.8934031725</v>
      </c>
      <c r="M90" s="70">
        <f t="shared" ca="1" si="34"/>
        <v>-960061.86299649626</v>
      </c>
      <c r="N90" s="70">
        <f t="shared" ca="1" si="34"/>
        <v>-1457837.6019444019</v>
      </c>
    </row>
    <row r="92" spans="1:14" x14ac:dyDescent="0.15">
      <c r="A92" s="20" t="s">
        <v>1534</v>
      </c>
      <c r="D92" s="22" t="s">
        <v>1535</v>
      </c>
      <c r="E92" s="22">
        <f>SUM(E84:E90)</f>
        <v>4441892.9140000008</v>
      </c>
      <c r="F92" s="22">
        <f t="shared" ref="F92:I92" si="35">SUM(F84:F90)</f>
        <v>6874608.5839999989</v>
      </c>
      <c r="G92" s="22">
        <f t="shared" si="35"/>
        <v>5445604.8190000001</v>
      </c>
      <c r="H92" s="22">
        <f t="shared" si="35"/>
        <v>2394276.5359999985</v>
      </c>
      <c r="I92" s="22">
        <f t="shared" si="35"/>
        <v>2418484.227</v>
      </c>
      <c r="J92" s="70">
        <f t="shared" ref="J92:M92" ca="1" si="36">SUM(J84:J90)</f>
        <v>1112664.3993369378</v>
      </c>
      <c r="K92" s="70">
        <f t="shared" ca="1" si="36"/>
        <v>2625533.7979985923</v>
      </c>
      <c r="L92" s="70">
        <f t="shared" ca="1" si="36"/>
        <v>9213100.4387134612</v>
      </c>
      <c r="M92" s="70">
        <f t="shared" ca="1" si="36"/>
        <v>10842259.457943723</v>
      </c>
      <c r="N92" s="70">
        <f ca="1">SUM(N84:N90)</f>
        <v>5126810.5637120456</v>
      </c>
    </row>
    <row r="94" spans="1:14" x14ac:dyDescent="0.15">
      <c r="A94" s="20" t="s">
        <v>1578</v>
      </c>
      <c r="E94" s="22">
        <f>$E$92/(1+$B$99)^E82</f>
        <v>4363378.9406300858</v>
      </c>
      <c r="F94" s="22">
        <f>$E$92/(1+$B$99)^F82</f>
        <v>4286252.7638895996</v>
      </c>
      <c r="G94" s="22">
        <f>$E$92/(1+$B$99)^G82</f>
        <v>4210489.8533745641</v>
      </c>
      <c r="H94" s="22">
        <f>$E$92/(1+$B$99)^H82</f>
        <v>4136066.1122753099</v>
      </c>
      <c r="I94" s="22">
        <f>$E$92/(1+$B$99)^I82</f>
        <v>4062957.8697123528</v>
      </c>
      <c r="J94" s="70">
        <f>$E$92/(1+$B$99)^J82</f>
        <v>3991141.8732077423</v>
      </c>
      <c r="K94" s="70">
        <f>$E$92/(1+$B$99)^K82</f>
        <v>3920595.2812894783</v>
      </c>
      <c r="L94" s="70">
        <f>$E$92/(1+$B$99)^L82</f>
        <v>3851295.6562266625</v>
      </c>
      <c r="M94" s="70">
        <f>$E$92/(1+$B$99)^M82</f>
        <v>3783220.956893051</v>
      </c>
      <c r="N94" s="70">
        <f>$E$92/(1+$B$99)^N82</f>
        <v>3716349.5317567526</v>
      </c>
    </row>
    <row r="95" spans="1:14" x14ac:dyDescent="0.15">
      <c r="A95" s="20" t="s">
        <v>1579</v>
      </c>
      <c r="E95" s="22">
        <f>$E$92/(1+$C$99)^E82</f>
        <v>4136611.0206742412</v>
      </c>
      <c r="F95" s="22">
        <f>$E$92/(1+$C$99)^F82</f>
        <v>3852310.5053773895</v>
      </c>
      <c r="G95" s="22">
        <f>$E$92/(1+$C$99)^G82</f>
        <v>3587549.3624300519</v>
      </c>
      <c r="H95" s="22">
        <f>$E$92/(1+$C$99)^H82</f>
        <v>3340984.692149424</v>
      </c>
      <c r="I95" s="22">
        <f>$E$92/(1+$C$99)^I82</f>
        <v>3111365.8895040266</v>
      </c>
      <c r="J95" s="70">
        <f>$E$92/(1+$C$99)^J82</f>
        <v>2897528.3008977706</v>
      </c>
      <c r="K95" s="70">
        <f>$E$92/(1+$C$99)^K82</f>
        <v>2698387.3169098254</v>
      </c>
      <c r="L95" s="70">
        <f>$E$92/(1+$C$99)^L82</f>
        <v>2512932.8710279614</v>
      </c>
      <c r="M95" s="70">
        <f>$E$92/(1+$C$99)^M82</f>
        <v>2340224.3164723055</v>
      </c>
      <c r="N95" s="70">
        <f>$E$92/(1+$C$99)^N82</f>
        <v>2179385.6551241432</v>
      </c>
    </row>
    <row r="96" spans="1:14" s="53" customFormat="1" x14ac:dyDescent="0.15">
      <c r="J96" s="82"/>
      <c r="K96" s="82"/>
      <c r="L96" s="82"/>
      <c r="M96" s="82"/>
      <c r="N96" s="82"/>
    </row>
    <row r="97" spans="1:3" x14ac:dyDescent="0.15">
      <c r="A97" s="54" t="s">
        <v>1552</v>
      </c>
    </row>
    <row r="98" spans="1:3" x14ac:dyDescent="0.15">
      <c r="B98" s="20" t="s">
        <v>1575</v>
      </c>
      <c r="C98" s="20" t="s">
        <v>1576</v>
      </c>
    </row>
    <row r="99" spans="1:3" x14ac:dyDescent="0.15">
      <c r="A99" s="55" t="s">
        <v>1519</v>
      </c>
      <c r="B99" s="83">
        <f>WACC!C40</f>
        <v>1.7993847070861456E-2</v>
      </c>
      <c r="C99" s="83">
        <f>WACC!C42</f>
        <v>7.3800000000000004E-2</v>
      </c>
    </row>
    <row r="101" spans="1:3" x14ac:dyDescent="0.15">
      <c r="A101" s="55" t="s">
        <v>1553</v>
      </c>
      <c r="B101" s="84">
        <f>1%</f>
        <v>0.01</v>
      </c>
      <c r="C101" s="84">
        <v>0.01</v>
      </c>
    </row>
    <row r="104" spans="1:3" x14ac:dyDescent="0.15">
      <c r="A104" s="20" t="s">
        <v>1522</v>
      </c>
      <c r="B104" s="22">
        <f ca="1">$N$92*(1+B101)/(B99-B101)</f>
        <v>647758034.82954931</v>
      </c>
      <c r="C104" s="22">
        <f ca="1">$N$92*(1+C101)/(C99-C101)</f>
        <v>81161107.670049608</v>
      </c>
    </row>
    <row r="106" spans="1:3" x14ac:dyDescent="0.15">
      <c r="A106" s="20" t="s">
        <v>1568</v>
      </c>
      <c r="B106" s="22">
        <f ca="1">B104/(1+B99)^N82</f>
        <v>541952567.52884197</v>
      </c>
      <c r="C106" s="22">
        <f ca="1">C104/(1+C99)^N82</f>
        <v>39821165.713517286</v>
      </c>
    </row>
    <row r="108" spans="1:3" x14ac:dyDescent="0.15">
      <c r="A108" s="20" t="s">
        <v>1569</v>
      </c>
      <c r="B108" s="22">
        <f ca="1">B106+SUM(E94:N94)</f>
        <v>582274316.36809754</v>
      </c>
      <c r="C108" s="22">
        <f ca="1">C106+SUM(F95:O95)</f>
        <v>66341834.623410188</v>
      </c>
    </row>
    <row r="110" spans="1:3" x14ac:dyDescent="0.15">
      <c r="A110" s="20" t="s">
        <v>1570</v>
      </c>
      <c r="B110" s="85">
        <v>18360566</v>
      </c>
      <c r="C110" s="85">
        <f>18360567</f>
        <v>18360567</v>
      </c>
    </row>
    <row r="112" spans="1:3" x14ac:dyDescent="0.15">
      <c r="A112" s="20" t="s">
        <v>1571</v>
      </c>
      <c r="B112" s="85">
        <f>33761025+24340003</f>
        <v>58101028</v>
      </c>
      <c r="C112" s="85">
        <f>33761025+24340003</f>
        <v>58101028</v>
      </c>
    </row>
    <row r="114" spans="1:3" x14ac:dyDescent="0.15">
      <c r="A114" s="20" t="s">
        <v>1572</v>
      </c>
      <c r="B114" s="22">
        <f ca="1">B108+B110-B112</f>
        <v>542533854.36809754</v>
      </c>
      <c r="C114" s="22">
        <f ca="1">C108+C110-C112</f>
        <v>26601373.623410195</v>
      </c>
    </row>
    <row r="116" spans="1:3" x14ac:dyDescent="0.15">
      <c r="A116" s="20" t="s">
        <v>1573</v>
      </c>
      <c r="B116" s="26">
        <v>262652272</v>
      </c>
      <c r="C116" s="26">
        <v>262652272</v>
      </c>
    </row>
    <row r="118" spans="1:3" x14ac:dyDescent="0.15">
      <c r="A118" s="21" t="s">
        <v>1581</v>
      </c>
      <c r="B118" s="23">
        <f ca="1">B114/B116*10^6</f>
        <v>2065597.4160699344</v>
      </c>
      <c r="C118" s="23">
        <f ca="1">MAX(0,C114/C116*10^6)</f>
        <v>101279.81540327279</v>
      </c>
    </row>
    <row r="119" spans="1:3" x14ac:dyDescent="0.15">
      <c r="A119" s="21" t="s">
        <v>1582</v>
      </c>
      <c r="B119" s="23">
        <f>'Share Prices'!B3</f>
        <v>421000</v>
      </c>
      <c r="C119" s="23"/>
    </row>
    <row r="121" spans="1:3" x14ac:dyDescent="0.15">
      <c r="A121" s="20" t="s">
        <v>1583</v>
      </c>
      <c r="B121" s="56">
        <f ca="1">C118/B119</f>
        <v>0.24056963278687124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5815C-E0CE-4249-8CD3-80885C0CE313}">
  <dimension ref="B1:J42"/>
  <sheetViews>
    <sheetView zoomScale="125" workbookViewId="0">
      <selection activeCell="C26" sqref="C26"/>
    </sheetView>
  </sheetViews>
  <sheetFormatPr baseColWidth="10" defaultRowHeight="13" x14ac:dyDescent="0.15"/>
  <cols>
    <col min="1" max="1" width="10.83203125" style="19"/>
    <col min="2" max="2" width="57.83203125" style="19" bestFit="1" customWidth="1"/>
    <col min="3" max="3" width="20" style="19" bestFit="1" customWidth="1"/>
    <col min="4" max="8" width="15.6640625" style="19" bestFit="1" customWidth="1"/>
    <col min="9" max="16384" width="10.83203125" style="19"/>
  </cols>
  <sheetData>
    <row r="1" spans="2:8" x14ac:dyDescent="0.15">
      <c r="B1" s="34" t="s">
        <v>1519</v>
      </c>
    </row>
    <row r="2" spans="2:8" x14ac:dyDescent="0.15">
      <c r="B2" s="34"/>
    </row>
    <row r="4" spans="2:8" x14ac:dyDescent="0.15">
      <c r="B4" s="35" t="s">
        <v>1544</v>
      </c>
      <c r="C4" s="36">
        <v>2020</v>
      </c>
      <c r="D4" s="36">
        <v>2021</v>
      </c>
      <c r="E4" s="36">
        <v>2022</v>
      </c>
      <c r="F4" s="36">
        <v>2023</v>
      </c>
      <c r="G4" s="36">
        <v>2024</v>
      </c>
      <c r="H4" s="36">
        <v>2025</v>
      </c>
    </row>
    <row r="5" spans="2:8" x14ac:dyDescent="0.15">
      <c r="B5" s="37"/>
      <c r="C5" s="38"/>
      <c r="D5" s="38"/>
      <c r="E5" s="38"/>
      <c r="F5" s="38"/>
      <c r="G5" s="38"/>
      <c r="H5" s="38"/>
    </row>
    <row r="6" spans="2:8" x14ac:dyDescent="0.15">
      <c r="B6" s="41" t="s">
        <v>1545</v>
      </c>
      <c r="C6" s="39"/>
      <c r="D6" s="39"/>
      <c r="E6" s="39"/>
      <c r="F6" s="39"/>
      <c r="G6" s="39"/>
      <c r="H6" s="39"/>
    </row>
    <row r="7" spans="2:8" x14ac:dyDescent="0.15">
      <c r="B7" s="19" t="s">
        <v>1548</v>
      </c>
      <c r="C7" s="33">
        <v>76340970</v>
      </c>
      <c r="D7" s="33">
        <v>82615789</v>
      </c>
      <c r="E7" s="33">
        <v>90896545</v>
      </c>
      <c r="F7" s="33">
        <v>101809440</v>
      </c>
      <c r="G7" s="33">
        <v>120275933</v>
      </c>
      <c r="H7" s="33">
        <v>127648237</v>
      </c>
    </row>
    <row r="8" spans="2:8" x14ac:dyDescent="0.15">
      <c r="C8" s="27"/>
      <c r="D8" s="27"/>
      <c r="E8" s="27"/>
      <c r="F8" s="27"/>
      <c r="G8" s="27"/>
      <c r="H8" s="27"/>
    </row>
    <row r="9" spans="2:8" x14ac:dyDescent="0.15">
      <c r="B9" s="19" t="s">
        <v>1547</v>
      </c>
      <c r="C9" s="27">
        <f>Data!F10</f>
        <v>133003242</v>
      </c>
      <c r="D9" s="27">
        <f>Data!G10</f>
        <v>151330626</v>
      </c>
      <c r="E9" s="27">
        <f>Data!H10</f>
        <v>164845917</v>
      </c>
      <c r="F9" s="27">
        <f>Data!I10</f>
        <v>180653915</v>
      </c>
      <c r="G9" s="27">
        <f>Data!J10</f>
        <v>219522496</v>
      </c>
      <c r="H9" s="27">
        <f>Data!K10</f>
        <v>241196612</v>
      </c>
    </row>
    <row r="10" spans="2:8" ht="14" thickBot="1" x14ac:dyDescent="0.2">
      <c r="C10" s="27"/>
      <c r="D10" s="27"/>
      <c r="E10" s="27"/>
      <c r="F10" s="27"/>
      <c r="G10" s="27"/>
      <c r="H10" s="27"/>
    </row>
    <row r="11" spans="2:8" ht="14" thickTop="1" x14ac:dyDescent="0.15">
      <c r="B11" s="43" t="s">
        <v>1546</v>
      </c>
      <c r="C11" s="44">
        <f>C7+C9</f>
        <v>209344212</v>
      </c>
      <c r="D11" s="44">
        <f t="shared" ref="D11:H11" si="0">D7+D9</f>
        <v>233946415</v>
      </c>
      <c r="E11" s="44">
        <f t="shared" si="0"/>
        <v>255742462</v>
      </c>
      <c r="F11" s="44">
        <f t="shared" si="0"/>
        <v>282463355</v>
      </c>
      <c r="G11" s="44">
        <f t="shared" si="0"/>
        <v>339798429</v>
      </c>
      <c r="H11" s="44">
        <f t="shared" si="0"/>
        <v>368844849</v>
      </c>
    </row>
    <row r="12" spans="2:8" x14ac:dyDescent="0.15">
      <c r="C12" s="27"/>
      <c r="D12" s="27"/>
      <c r="E12" s="27"/>
      <c r="F12" s="27"/>
      <c r="G12" s="27"/>
      <c r="H12" s="27"/>
    </row>
    <row r="13" spans="2:8" x14ac:dyDescent="0.15">
      <c r="B13" s="25" t="s">
        <v>1516</v>
      </c>
      <c r="C13" s="42">
        <f>C9/C11</f>
        <v>0.63533278866100196</v>
      </c>
      <c r="D13" s="42">
        <f t="shared" ref="D13:H13" si="1">D9/D11</f>
        <v>0.64686020514569542</v>
      </c>
      <c r="E13" s="42">
        <f t="shared" si="1"/>
        <v>0.64457781359749322</v>
      </c>
      <c r="F13" s="42">
        <f t="shared" si="1"/>
        <v>0.63956584739992206</v>
      </c>
      <c r="G13" s="42">
        <f t="shared" si="1"/>
        <v>0.64603740707700563</v>
      </c>
      <c r="H13" s="42">
        <f t="shared" si="1"/>
        <v>0.65392430626027265</v>
      </c>
    </row>
    <row r="14" spans="2:8" x14ac:dyDescent="0.15">
      <c r="B14" s="25"/>
      <c r="C14" s="42"/>
      <c r="D14" s="42"/>
      <c r="E14" s="42"/>
      <c r="F14" s="42"/>
      <c r="G14" s="42"/>
      <c r="H14" s="42"/>
    </row>
    <row r="15" spans="2:8" x14ac:dyDescent="0.15">
      <c r="B15" s="25" t="s">
        <v>1517</v>
      </c>
      <c r="C15" s="42">
        <f>C7/C11</f>
        <v>0.36466721133899799</v>
      </c>
      <c r="D15" s="42">
        <f t="shared" ref="D15:H15" si="2">D7/D11</f>
        <v>0.35313979485430458</v>
      </c>
      <c r="E15" s="42">
        <f t="shared" si="2"/>
        <v>0.35542218640250678</v>
      </c>
      <c r="F15" s="42">
        <f t="shared" si="2"/>
        <v>0.36043415260007799</v>
      </c>
      <c r="G15" s="42">
        <f t="shared" si="2"/>
        <v>0.35396259292299437</v>
      </c>
      <c r="H15" s="42">
        <f t="shared" si="2"/>
        <v>0.34607569373972741</v>
      </c>
    </row>
    <row r="16" spans="2:8" x14ac:dyDescent="0.15">
      <c r="B16" s="25"/>
      <c r="C16" s="42"/>
      <c r="D16" s="42"/>
      <c r="E16" s="42"/>
      <c r="F16" s="42"/>
      <c r="G16" s="42"/>
      <c r="H16" s="42"/>
    </row>
    <row r="17" spans="2:10" x14ac:dyDescent="0.15">
      <c r="B17" s="25"/>
      <c r="C17" s="42"/>
      <c r="D17" s="42"/>
      <c r="E17" s="42"/>
      <c r="F17" s="42"/>
      <c r="G17" s="42"/>
      <c r="H17" s="42"/>
    </row>
    <row r="18" spans="2:10" x14ac:dyDescent="0.15">
      <c r="C18" s="27"/>
      <c r="D18" s="27"/>
      <c r="E18" s="27"/>
      <c r="F18" s="27"/>
      <c r="G18" s="27"/>
      <c r="H18" s="27"/>
      <c r="J18" s="19">
        <f>C25*(1-C19)</f>
        <v>0</v>
      </c>
    </row>
    <row r="19" spans="2:10" x14ac:dyDescent="0.15">
      <c r="B19" s="41" t="s">
        <v>1515</v>
      </c>
      <c r="C19" s="40">
        <v>0.22900000000000001</v>
      </c>
      <c r="D19" s="40">
        <v>0.28499999999999998</v>
      </c>
      <c r="E19" s="40">
        <v>0.26600000000000001</v>
      </c>
      <c r="F19" s="40">
        <v>0.26300000000000001</v>
      </c>
      <c r="G19" s="40">
        <v>0.23799999999999999</v>
      </c>
      <c r="H19" s="40">
        <v>0.251</v>
      </c>
    </row>
    <row r="22" spans="2:10" x14ac:dyDescent="0.15">
      <c r="B22" s="41" t="s">
        <v>1549</v>
      </c>
      <c r="C22" s="40"/>
      <c r="D22" s="40"/>
      <c r="E22" s="40"/>
      <c r="F22" s="40"/>
      <c r="G22" s="40"/>
      <c r="H22" s="40"/>
    </row>
    <row r="23" spans="2:10" x14ac:dyDescent="0.15">
      <c r="B23" s="46"/>
      <c r="C23" s="37"/>
      <c r="D23" s="37"/>
      <c r="E23" s="37"/>
      <c r="F23" s="37"/>
      <c r="G23" s="37"/>
      <c r="H23" s="37"/>
    </row>
    <row r="24" spans="2:10" x14ac:dyDescent="0.15">
      <c r="B24" s="47" t="s">
        <v>1550</v>
      </c>
      <c r="C24" s="48"/>
      <c r="D24" s="48"/>
      <c r="E24" s="48"/>
      <c r="F24" s="48"/>
      <c r="G24" s="48"/>
      <c r="H24" s="48"/>
    </row>
    <row r="25" spans="2:10" x14ac:dyDescent="0.15">
      <c r="B25" s="46"/>
      <c r="C25" s="45"/>
      <c r="D25" s="45"/>
      <c r="E25" s="45"/>
      <c r="F25" s="45"/>
      <c r="G25" s="45"/>
      <c r="H25" s="45"/>
    </row>
    <row r="26" spans="2:10" x14ac:dyDescent="0.15">
      <c r="B26" s="19" t="s">
        <v>1514</v>
      </c>
      <c r="C26" s="45">
        <f>362377/C$9</f>
        <v>2.7245726837245065E-3</v>
      </c>
      <c r="D26" s="45">
        <f>362377/D$9</f>
        <v>2.3946045131670837E-3</v>
      </c>
      <c r="E26" s="45">
        <f t="shared" ref="E26:H26" si="3">362377/E$9</f>
        <v>2.198277073492818E-3</v>
      </c>
      <c r="F26" s="45">
        <f t="shared" si="3"/>
        <v>2.0059183328520725E-3</v>
      </c>
      <c r="G26" s="45">
        <f t="shared" si="3"/>
        <v>1.6507510920429768E-3</v>
      </c>
      <c r="H26" s="45">
        <f t="shared" si="3"/>
        <v>1.502413309188605E-3</v>
      </c>
    </row>
    <row r="27" spans="2:10" x14ac:dyDescent="0.15">
      <c r="B27" s="25" t="s">
        <v>1513</v>
      </c>
      <c r="C27" s="45">
        <f>C26*(1-C19)</f>
        <v>2.1006455391515944E-3</v>
      </c>
      <c r="D27" s="45">
        <f>D26*(1-D19)</f>
        <v>1.7121422269144651E-3</v>
      </c>
      <c r="E27" s="45">
        <f t="shared" ref="E27:H27" si="4">E26*(1-E19)</f>
        <v>1.6135353719437283E-3</v>
      </c>
      <c r="F27" s="45">
        <f t="shared" si="4"/>
        <v>1.4783618113119773E-3</v>
      </c>
      <c r="G27" s="45">
        <f t="shared" si="4"/>
        <v>1.2578723321367484E-3</v>
      </c>
      <c r="H27" s="45">
        <f t="shared" si="4"/>
        <v>1.1253075685822651E-3</v>
      </c>
    </row>
    <row r="28" spans="2:10" x14ac:dyDescent="0.15">
      <c r="C28" s="45"/>
      <c r="D28" s="45"/>
      <c r="E28" s="45"/>
      <c r="F28" s="45"/>
      <c r="G28" s="45"/>
      <c r="H28" s="45"/>
    </row>
    <row r="29" spans="2:10" x14ac:dyDescent="0.15">
      <c r="B29" s="49" t="s">
        <v>1520</v>
      </c>
      <c r="C29" s="50"/>
      <c r="D29" s="50"/>
      <c r="E29" s="50"/>
      <c r="F29" s="50"/>
      <c r="G29" s="50"/>
      <c r="H29" s="50"/>
    </row>
    <row r="30" spans="2:10" x14ac:dyDescent="0.15">
      <c r="C30" s="45"/>
      <c r="D30" s="45"/>
      <c r="E30" s="45"/>
      <c r="F30" s="45"/>
      <c r="G30" s="45"/>
      <c r="H30" s="45"/>
    </row>
    <row r="31" spans="2:10" x14ac:dyDescent="0.15">
      <c r="B31" s="19" t="s">
        <v>1521</v>
      </c>
      <c r="C31" s="45">
        <f>0.0438</f>
        <v>4.3799999999999999E-2</v>
      </c>
      <c r="D31" s="45"/>
      <c r="E31" s="45"/>
      <c r="F31" s="45"/>
      <c r="G31" s="45"/>
      <c r="H31" s="45"/>
    </row>
    <row r="32" spans="2:10" x14ac:dyDescent="0.15">
      <c r="C32" s="45"/>
      <c r="D32" s="45"/>
      <c r="E32" s="45"/>
      <c r="F32" s="45"/>
      <c r="G32" s="45"/>
      <c r="H32" s="45"/>
    </row>
    <row r="33" spans="2:8" x14ac:dyDescent="0.15">
      <c r="B33" s="19" t="s">
        <v>1551</v>
      </c>
      <c r="C33" s="45">
        <v>4.2999999999999997E-2</v>
      </c>
      <c r="D33" s="45"/>
      <c r="E33" s="45"/>
      <c r="F33" s="45"/>
      <c r="G33" s="45"/>
      <c r="H33" s="45"/>
    </row>
    <row r="34" spans="2:8" x14ac:dyDescent="0.15">
      <c r="C34" s="45"/>
      <c r="D34" s="45"/>
      <c r="E34" s="45"/>
      <c r="F34" s="45"/>
      <c r="G34" s="45"/>
      <c r="H34" s="45"/>
    </row>
    <row r="35" spans="2:8" x14ac:dyDescent="0.15">
      <c r="B35" s="19" t="s">
        <v>1518</v>
      </c>
      <c r="C35" s="45">
        <f>1.73</f>
        <v>1.73</v>
      </c>
      <c r="D35" s="45"/>
      <c r="E35" s="45"/>
      <c r="F35" s="45"/>
      <c r="G35" s="45"/>
      <c r="H35" s="45"/>
    </row>
    <row r="36" spans="2:8" x14ac:dyDescent="0.15">
      <c r="C36" s="45"/>
      <c r="D36" s="45"/>
      <c r="E36" s="45"/>
      <c r="F36" s="45"/>
      <c r="G36" s="45"/>
      <c r="H36" s="45"/>
    </row>
    <row r="37" spans="2:8" x14ac:dyDescent="0.15">
      <c r="B37" s="19" t="s">
        <v>1520</v>
      </c>
      <c r="C37" s="45">
        <f>C31+$C$33*$C$31</f>
        <v>4.5683399999999999E-2</v>
      </c>
      <c r="D37" s="45"/>
      <c r="E37" s="45"/>
      <c r="F37" s="45"/>
      <c r="G37" s="45"/>
      <c r="H37" s="45"/>
    </row>
    <row r="38" spans="2:8" x14ac:dyDescent="0.15">
      <c r="C38" s="45"/>
      <c r="D38" s="45"/>
      <c r="E38" s="45"/>
      <c r="F38" s="45"/>
      <c r="G38" s="45"/>
      <c r="H38" s="45"/>
    </row>
    <row r="39" spans="2:8" x14ac:dyDescent="0.15">
      <c r="C39" s="45"/>
      <c r="D39" s="45"/>
      <c r="E39" s="45"/>
      <c r="F39" s="45"/>
      <c r="G39" s="45"/>
      <c r="H39" s="45"/>
    </row>
    <row r="40" spans="2:8" x14ac:dyDescent="0.15">
      <c r="B40" s="51" t="s">
        <v>1519</v>
      </c>
      <c r="C40" s="52">
        <f>C13*C27+C15*C37</f>
        <v>1.7993847070861456E-2</v>
      </c>
      <c r="D40" s="65"/>
      <c r="E40" s="65"/>
      <c r="F40" s="65"/>
      <c r="G40" s="65"/>
      <c r="H40" s="65"/>
    </row>
    <row r="42" spans="2:8" x14ac:dyDescent="0.15">
      <c r="B42" s="66" t="s">
        <v>1574</v>
      </c>
      <c r="C42" s="67">
        <v>7.3800000000000004E-2</v>
      </c>
    </row>
  </sheetData>
  <mergeCells count="1">
    <mergeCell ref="B1:B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EC859-C6F5-4FB1-B1FA-F9CC1B55DBC1}">
  <dimension ref="A1:G2094"/>
  <sheetViews>
    <sheetView zoomScale="181" workbookViewId="0">
      <selection activeCell="A2" sqref="A2"/>
    </sheetView>
  </sheetViews>
  <sheetFormatPr baseColWidth="10" defaultColWidth="8.83203125" defaultRowHeight="13" x14ac:dyDescent="0.15"/>
  <cols>
    <col min="1" max="1" width="30.1640625" style="16" bestFit="1" customWidth="1"/>
    <col min="2" max="2" width="12.1640625" style="18" bestFit="1" customWidth="1"/>
    <col min="3" max="5" width="7.6640625" bestFit="1" customWidth="1"/>
    <col min="6" max="6" width="7.83203125" bestFit="1" customWidth="1"/>
    <col min="7" max="7" width="9.33203125" bestFit="1" customWidth="1"/>
  </cols>
  <sheetData>
    <row r="1" spans="1:7" x14ac:dyDescent="0.15">
      <c r="A1" s="57" t="s">
        <v>1580</v>
      </c>
    </row>
    <row r="2" spans="1:7" x14ac:dyDescent="0.15">
      <c r="A2" s="16" t="s">
        <v>68</v>
      </c>
      <c r="B2" s="28" t="s">
        <v>69</v>
      </c>
      <c r="C2" s="16" t="s">
        <v>70</v>
      </c>
      <c r="D2" s="16" t="s">
        <v>71</v>
      </c>
      <c r="E2" s="16" t="s">
        <v>72</v>
      </c>
      <c r="F2" s="16" t="s">
        <v>73</v>
      </c>
      <c r="G2" s="16" t="s">
        <v>74</v>
      </c>
    </row>
    <row r="3" spans="1:7" x14ac:dyDescent="0.15">
      <c r="A3" s="86">
        <v>46259</v>
      </c>
      <c r="B3" s="18">
        <v>421000</v>
      </c>
      <c r="C3" s="14">
        <v>422000</v>
      </c>
      <c r="D3" s="14">
        <v>427250</v>
      </c>
      <c r="E3" s="14">
        <v>406000</v>
      </c>
      <c r="F3" t="s">
        <v>75</v>
      </c>
      <c r="G3" s="15">
        <v>1.6899999999999998E-2</v>
      </c>
    </row>
    <row r="4" spans="1:7" x14ac:dyDescent="0.15">
      <c r="A4" s="86">
        <v>46258</v>
      </c>
      <c r="B4" s="18">
        <v>414000</v>
      </c>
      <c r="C4" s="14">
        <v>416000</v>
      </c>
      <c r="D4" s="14">
        <v>420000</v>
      </c>
      <c r="E4" s="14">
        <v>408000</v>
      </c>
      <c r="F4" t="s">
        <v>76</v>
      </c>
      <c r="G4" s="15">
        <v>-2.3999999999999998E-3</v>
      </c>
    </row>
    <row r="5" spans="1:7" x14ac:dyDescent="0.15">
      <c r="A5" s="86">
        <v>46255</v>
      </c>
      <c r="B5" s="18">
        <v>415000</v>
      </c>
      <c r="C5" s="14">
        <v>406500</v>
      </c>
      <c r="D5" s="14">
        <v>420500</v>
      </c>
      <c r="E5" s="14">
        <v>405000</v>
      </c>
      <c r="F5" t="s">
        <v>77</v>
      </c>
      <c r="G5" s="15">
        <v>-6.0000000000000001E-3</v>
      </c>
    </row>
    <row r="6" spans="1:7" x14ac:dyDescent="0.15">
      <c r="A6" s="86">
        <v>46254</v>
      </c>
      <c r="B6" s="18">
        <v>417500</v>
      </c>
      <c r="C6" s="14">
        <v>417000</v>
      </c>
      <c r="D6" s="14">
        <v>425000</v>
      </c>
      <c r="E6" s="14">
        <v>408000</v>
      </c>
      <c r="F6" t="s">
        <v>78</v>
      </c>
      <c r="G6" s="15">
        <v>8.5000000000000006E-3</v>
      </c>
    </row>
    <row r="7" spans="1:7" x14ac:dyDescent="0.15">
      <c r="A7" s="86">
        <v>46253</v>
      </c>
      <c r="B7" s="18">
        <v>414000</v>
      </c>
      <c r="C7" s="14">
        <v>416000</v>
      </c>
      <c r="D7" s="14">
        <v>422500</v>
      </c>
      <c r="E7" s="14">
        <v>406500</v>
      </c>
      <c r="F7" t="s">
        <v>79</v>
      </c>
      <c r="G7" s="15">
        <v>-4.8300000000000003E-2</v>
      </c>
    </row>
    <row r="8" spans="1:7" x14ac:dyDescent="0.15">
      <c r="A8" s="86">
        <v>46252</v>
      </c>
      <c r="B8" s="18">
        <v>435000</v>
      </c>
      <c r="C8" s="14">
        <v>459500</v>
      </c>
      <c r="D8" s="14">
        <v>459500</v>
      </c>
      <c r="E8" s="14">
        <v>427000</v>
      </c>
      <c r="F8" t="s">
        <v>80</v>
      </c>
      <c r="G8" s="15">
        <v>-3.9699999999999999E-2</v>
      </c>
    </row>
    <row r="9" spans="1:7" x14ac:dyDescent="0.15">
      <c r="A9" s="86">
        <v>46248</v>
      </c>
      <c r="B9" s="18">
        <v>453000</v>
      </c>
      <c r="C9" s="14">
        <v>424000</v>
      </c>
      <c r="D9" s="14">
        <v>456000</v>
      </c>
      <c r="E9" s="14">
        <v>421500</v>
      </c>
      <c r="F9" t="s">
        <v>81</v>
      </c>
      <c r="G9" s="15">
        <v>8.2400000000000001E-2</v>
      </c>
    </row>
    <row r="10" spans="1:7" x14ac:dyDescent="0.15">
      <c r="A10" s="86">
        <v>46247</v>
      </c>
      <c r="B10" s="18">
        <v>418500</v>
      </c>
      <c r="C10" s="14">
        <v>419500</v>
      </c>
      <c r="D10" s="14">
        <v>431500</v>
      </c>
      <c r="E10" s="14">
        <v>415000</v>
      </c>
      <c r="F10" t="s">
        <v>82</v>
      </c>
      <c r="G10" s="15">
        <v>2.1999999999999999E-2</v>
      </c>
    </row>
    <row r="11" spans="1:7" x14ac:dyDescent="0.15">
      <c r="A11" s="86">
        <v>46246</v>
      </c>
      <c r="B11" s="18">
        <v>409500</v>
      </c>
      <c r="C11" s="14">
        <v>403000</v>
      </c>
      <c r="D11" s="14">
        <v>413000</v>
      </c>
      <c r="E11" s="14">
        <v>400500</v>
      </c>
      <c r="F11" t="s">
        <v>83</v>
      </c>
      <c r="G11" s="15">
        <v>1.61E-2</v>
      </c>
    </row>
    <row r="12" spans="1:7" x14ac:dyDescent="0.15">
      <c r="A12" s="86">
        <v>46245</v>
      </c>
      <c r="B12" s="18">
        <v>403000</v>
      </c>
      <c r="C12" s="14">
        <v>406000</v>
      </c>
      <c r="D12" s="14">
        <v>411000</v>
      </c>
      <c r="E12" s="14">
        <v>400500</v>
      </c>
      <c r="F12" t="s">
        <v>84</v>
      </c>
      <c r="G12" s="15">
        <v>-1.23E-2</v>
      </c>
    </row>
    <row r="13" spans="1:7" x14ac:dyDescent="0.15">
      <c r="A13" s="86">
        <v>46244</v>
      </c>
      <c r="B13" s="18">
        <v>408000</v>
      </c>
      <c r="C13" s="14">
        <v>396000</v>
      </c>
      <c r="D13" s="14">
        <v>410500</v>
      </c>
      <c r="E13" s="14">
        <v>392500</v>
      </c>
      <c r="F13" t="s">
        <v>85</v>
      </c>
      <c r="G13" s="15">
        <v>3.1600000000000003E-2</v>
      </c>
    </row>
    <row r="14" spans="1:7" x14ac:dyDescent="0.15">
      <c r="A14" s="86">
        <v>46241</v>
      </c>
      <c r="B14" s="18">
        <v>395500</v>
      </c>
      <c r="C14" s="14">
        <v>401000</v>
      </c>
      <c r="D14" s="14">
        <v>406000</v>
      </c>
      <c r="E14" s="14">
        <v>387000</v>
      </c>
      <c r="F14" t="s">
        <v>86</v>
      </c>
      <c r="G14" s="15">
        <v>-1.1299999999999999E-2</v>
      </c>
    </row>
    <row r="15" spans="1:7" x14ac:dyDescent="0.15">
      <c r="A15" s="86">
        <v>46240</v>
      </c>
      <c r="B15" s="18">
        <v>400000</v>
      </c>
      <c r="C15" s="14">
        <v>401000</v>
      </c>
      <c r="D15" s="14">
        <v>415000</v>
      </c>
      <c r="E15" s="14">
        <v>390000</v>
      </c>
      <c r="F15" t="s">
        <v>87</v>
      </c>
      <c r="G15" s="15">
        <v>-1.11E-2</v>
      </c>
    </row>
    <row r="16" spans="1:7" x14ac:dyDescent="0.15">
      <c r="A16" s="86">
        <v>46239</v>
      </c>
      <c r="B16" s="18">
        <v>404500</v>
      </c>
      <c r="C16" s="14">
        <v>401500</v>
      </c>
      <c r="D16" s="14">
        <v>411000</v>
      </c>
      <c r="E16" s="14">
        <v>400500</v>
      </c>
      <c r="F16" t="s">
        <v>88</v>
      </c>
      <c r="G16" s="15">
        <v>3.0599999999999999E-2</v>
      </c>
    </row>
    <row r="17" spans="1:7" x14ac:dyDescent="0.15">
      <c r="A17" s="86">
        <v>46238</v>
      </c>
      <c r="B17" s="18">
        <v>392500</v>
      </c>
      <c r="C17" s="14">
        <v>395500</v>
      </c>
      <c r="D17" s="14">
        <v>396500</v>
      </c>
      <c r="E17" s="14">
        <v>376000</v>
      </c>
      <c r="F17" t="s">
        <v>89</v>
      </c>
      <c r="G17" s="15">
        <v>-1.2999999999999999E-3</v>
      </c>
    </row>
    <row r="18" spans="1:7" x14ac:dyDescent="0.15">
      <c r="A18" s="86">
        <v>46237</v>
      </c>
      <c r="B18" s="18">
        <v>393000</v>
      </c>
      <c r="C18" s="14">
        <v>383000</v>
      </c>
      <c r="D18" s="14">
        <v>401500</v>
      </c>
      <c r="E18" s="14">
        <v>376000</v>
      </c>
      <c r="F18" t="s">
        <v>90</v>
      </c>
      <c r="G18" s="15">
        <v>1.29E-2</v>
      </c>
    </row>
    <row r="19" spans="1:7" x14ac:dyDescent="0.15">
      <c r="A19" s="86">
        <v>46234</v>
      </c>
      <c r="B19" s="18">
        <v>388000</v>
      </c>
      <c r="C19" s="14">
        <v>370000</v>
      </c>
      <c r="D19" s="14">
        <v>391500</v>
      </c>
      <c r="E19" s="14">
        <v>366000</v>
      </c>
      <c r="F19" t="s">
        <v>91</v>
      </c>
      <c r="G19" s="15">
        <v>0.10539999999999999</v>
      </c>
    </row>
    <row r="20" spans="1:7" x14ac:dyDescent="0.15">
      <c r="A20" s="86">
        <v>46233</v>
      </c>
      <c r="B20" s="18">
        <v>351000</v>
      </c>
      <c r="C20" s="14">
        <v>346000</v>
      </c>
      <c r="D20" s="14">
        <v>369000</v>
      </c>
      <c r="E20" s="14">
        <v>343500</v>
      </c>
      <c r="F20" t="s">
        <v>92</v>
      </c>
      <c r="G20" s="15">
        <v>-7.1000000000000004E-3</v>
      </c>
    </row>
    <row r="21" spans="1:7" x14ac:dyDescent="0.15">
      <c r="A21" s="86">
        <v>46232</v>
      </c>
      <c r="B21" s="18">
        <v>353500</v>
      </c>
      <c r="C21" s="14">
        <v>369500</v>
      </c>
      <c r="D21" s="14">
        <v>382000</v>
      </c>
      <c r="E21" s="14">
        <v>338500</v>
      </c>
      <c r="F21" t="s">
        <v>93</v>
      </c>
      <c r="G21" s="15">
        <v>-2.8799999999999999E-2</v>
      </c>
    </row>
    <row r="22" spans="1:7" x14ac:dyDescent="0.15">
      <c r="A22" s="86">
        <v>46231</v>
      </c>
      <c r="B22" s="18">
        <v>364000</v>
      </c>
      <c r="C22" s="14">
        <v>386500</v>
      </c>
      <c r="D22" s="14">
        <v>390500</v>
      </c>
      <c r="E22" s="14">
        <v>359000</v>
      </c>
      <c r="F22" t="s">
        <v>94</v>
      </c>
      <c r="G22" s="15">
        <v>-9.6799999999999997E-2</v>
      </c>
    </row>
    <row r="23" spans="1:7" x14ac:dyDescent="0.15">
      <c r="A23" s="86">
        <v>46230</v>
      </c>
      <c r="B23" s="18">
        <v>403000</v>
      </c>
      <c r="C23" s="14">
        <v>410000</v>
      </c>
      <c r="D23" s="14">
        <v>411000</v>
      </c>
      <c r="E23" s="14">
        <v>393500</v>
      </c>
      <c r="F23" t="s">
        <v>95</v>
      </c>
      <c r="G23" s="15">
        <v>5.0000000000000001E-3</v>
      </c>
    </row>
    <row r="24" spans="1:7" x14ac:dyDescent="0.15">
      <c r="A24" s="86">
        <v>46227</v>
      </c>
      <c r="B24" s="18">
        <v>401000</v>
      </c>
      <c r="C24" s="14">
        <v>418500</v>
      </c>
      <c r="D24" s="14">
        <v>418500</v>
      </c>
      <c r="E24" s="14">
        <v>390000</v>
      </c>
      <c r="F24" t="s">
        <v>96</v>
      </c>
      <c r="G24" s="15">
        <v>-7.1800000000000003E-2</v>
      </c>
    </row>
    <row r="25" spans="1:7" x14ac:dyDescent="0.15">
      <c r="A25" s="86">
        <v>46226</v>
      </c>
      <c r="B25" s="18">
        <v>432000</v>
      </c>
      <c r="C25" s="14">
        <v>419500</v>
      </c>
      <c r="D25" s="14">
        <v>433000</v>
      </c>
      <c r="E25" s="14">
        <v>416500</v>
      </c>
      <c r="F25" t="s">
        <v>97</v>
      </c>
      <c r="G25" s="15">
        <v>3.3500000000000002E-2</v>
      </c>
    </row>
    <row r="26" spans="1:7" x14ac:dyDescent="0.15">
      <c r="A26" s="86">
        <v>46225</v>
      </c>
      <c r="B26" s="18">
        <v>418000</v>
      </c>
      <c r="C26" s="14">
        <v>413500</v>
      </c>
      <c r="D26" s="14">
        <v>433000</v>
      </c>
      <c r="E26" s="14">
        <v>411500</v>
      </c>
      <c r="F26" t="s">
        <v>98</v>
      </c>
      <c r="G26" s="15">
        <v>4.7600000000000003E-2</v>
      </c>
    </row>
    <row r="27" spans="1:7" x14ac:dyDescent="0.15">
      <c r="A27" s="86">
        <v>46224</v>
      </c>
      <c r="B27" s="18">
        <v>399000</v>
      </c>
      <c r="C27" s="14">
        <v>393000</v>
      </c>
      <c r="D27" s="14">
        <v>404000</v>
      </c>
      <c r="E27" s="14">
        <v>381000</v>
      </c>
      <c r="F27" t="s">
        <v>99</v>
      </c>
      <c r="G27" s="15">
        <v>0</v>
      </c>
    </row>
    <row r="28" spans="1:7" x14ac:dyDescent="0.15">
      <c r="A28" s="86">
        <v>46223</v>
      </c>
      <c r="B28" s="18">
        <v>399000</v>
      </c>
      <c r="C28" s="14">
        <v>408000</v>
      </c>
      <c r="D28" s="14">
        <v>410000</v>
      </c>
      <c r="E28" s="14">
        <v>394500</v>
      </c>
      <c r="F28" t="s">
        <v>100</v>
      </c>
      <c r="G28" s="15">
        <v>-6.1199999999999997E-2</v>
      </c>
    </row>
    <row r="29" spans="1:7" x14ac:dyDescent="0.15">
      <c r="A29" s="86">
        <v>46219</v>
      </c>
      <c r="B29" s="18">
        <v>425000</v>
      </c>
      <c r="C29" s="14">
        <v>423000</v>
      </c>
      <c r="D29" s="14">
        <v>431000</v>
      </c>
      <c r="E29" s="14">
        <v>412000</v>
      </c>
      <c r="F29" t="s">
        <v>101</v>
      </c>
      <c r="G29" s="15">
        <v>-2.07E-2</v>
      </c>
    </row>
    <row r="30" spans="1:7" x14ac:dyDescent="0.15">
      <c r="A30" s="86">
        <v>46218</v>
      </c>
      <c r="B30" s="18">
        <v>434000</v>
      </c>
      <c r="C30" s="14">
        <v>433000</v>
      </c>
      <c r="D30" s="14">
        <v>439500</v>
      </c>
      <c r="E30" s="14">
        <v>424000</v>
      </c>
      <c r="F30" t="s">
        <v>102</v>
      </c>
      <c r="G30" s="15">
        <v>2.24E-2</v>
      </c>
    </row>
    <row r="31" spans="1:7" x14ac:dyDescent="0.15">
      <c r="A31" s="86">
        <v>46217</v>
      </c>
      <c r="B31" s="18">
        <v>424500</v>
      </c>
      <c r="C31" s="14">
        <v>433500</v>
      </c>
      <c r="D31" s="14">
        <v>434000</v>
      </c>
      <c r="E31" s="14">
        <v>403250</v>
      </c>
      <c r="F31" t="s">
        <v>103</v>
      </c>
      <c r="G31" s="15">
        <v>-4.3900000000000002E-2</v>
      </c>
    </row>
    <row r="32" spans="1:7" x14ac:dyDescent="0.15">
      <c r="A32" s="86">
        <v>46216</v>
      </c>
      <c r="B32" s="18">
        <v>444000</v>
      </c>
      <c r="C32" s="14">
        <v>456500</v>
      </c>
      <c r="D32" s="14">
        <v>482000</v>
      </c>
      <c r="E32" s="14">
        <v>440500</v>
      </c>
      <c r="F32" t="s">
        <v>104</v>
      </c>
      <c r="G32" s="15">
        <v>-2.9499999999999998E-2</v>
      </c>
    </row>
    <row r="33" spans="1:7" x14ac:dyDescent="0.15">
      <c r="A33" s="86">
        <v>46213</v>
      </c>
      <c r="B33" s="18">
        <v>457500</v>
      </c>
      <c r="C33" s="14">
        <v>448000</v>
      </c>
      <c r="D33" s="14">
        <v>468000</v>
      </c>
      <c r="E33" s="14">
        <v>447500</v>
      </c>
      <c r="F33" t="s">
        <v>105</v>
      </c>
      <c r="G33" s="15">
        <v>2.69E-2</v>
      </c>
    </row>
    <row r="34" spans="1:7" x14ac:dyDescent="0.15">
      <c r="A34" s="86">
        <v>46212</v>
      </c>
      <c r="B34" s="18">
        <v>445500</v>
      </c>
      <c r="C34" s="14">
        <v>460000</v>
      </c>
      <c r="D34" s="14">
        <v>463500</v>
      </c>
      <c r="E34" s="14">
        <v>433500</v>
      </c>
      <c r="F34" t="s">
        <v>106</v>
      </c>
      <c r="G34" s="15">
        <v>-3.6799999999999999E-2</v>
      </c>
    </row>
    <row r="35" spans="1:7" x14ac:dyDescent="0.15">
      <c r="A35" s="86">
        <v>46211</v>
      </c>
      <c r="B35" s="18">
        <v>462500</v>
      </c>
      <c r="C35" s="14">
        <v>469000</v>
      </c>
      <c r="D35" s="14">
        <v>484500</v>
      </c>
      <c r="E35" s="14">
        <v>453500</v>
      </c>
      <c r="F35" t="s">
        <v>107</v>
      </c>
      <c r="G35" s="15">
        <v>-3.5499999999999997E-2</v>
      </c>
    </row>
    <row r="36" spans="1:7" x14ac:dyDescent="0.15">
      <c r="A36" s="86">
        <v>46210</v>
      </c>
      <c r="B36" s="18">
        <v>479500</v>
      </c>
      <c r="C36" s="14">
        <v>494000</v>
      </c>
      <c r="D36" s="14">
        <v>495500</v>
      </c>
      <c r="E36" s="14">
        <v>460500</v>
      </c>
      <c r="F36" t="s">
        <v>108</v>
      </c>
      <c r="G36" s="15">
        <v>-4.48E-2</v>
      </c>
    </row>
    <row r="37" spans="1:7" x14ac:dyDescent="0.15">
      <c r="A37" s="86">
        <v>46209</v>
      </c>
      <c r="B37" s="18">
        <v>502000</v>
      </c>
      <c r="C37" s="14">
        <v>492500</v>
      </c>
      <c r="D37" s="14">
        <v>513000</v>
      </c>
      <c r="E37" s="14">
        <v>485000</v>
      </c>
      <c r="F37" t="s">
        <v>109</v>
      </c>
      <c r="G37" s="15">
        <v>2.0299999999999999E-2</v>
      </c>
    </row>
    <row r="38" spans="1:7" x14ac:dyDescent="0.15">
      <c r="A38" s="86">
        <v>46206</v>
      </c>
      <c r="B38" s="18">
        <v>492000</v>
      </c>
      <c r="C38" s="14">
        <v>477000</v>
      </c>
      <c r="D38" s="14">
        <v>493500</v>
      </c>
      <c r="E38" s="14">
        <v>458000</v>
      </c>
      <c r="F38" t="s">
        <v>110</v>
      </c>
      <c r="G38" s="15">
        <v>2.07E-2</v>
      </c>
    </row>
    <row r="39" spans="1:7" x14ac:dyDescent="0.15">
      <c r="A39" s="86">
        <v>46205</v>
      </c>
      <c r="B39" s="18">
        <v>482000</v>
      </c>
      <c r="C39" s="14">
        <v>474000</v>
      </c>
      <c r="D39" s="14">
        <v>501000</v>
      </c>
      <c r="E39" s="14">
        <v>457000</v>
      </c>
      <c r="F39" t="s">
        <v>111</v>
      </c>
      <c r="G39" s="15">
        <v>-1.1299999999999999E-2</v>
      </c>
    </row>
    <row r="40" spans="1:7" x14ac:dyDescent="0.15">
      <c r="A40" s="86">
        <v>46204</v>
      </c>
      <c r="B40" s="18">
        <v>487500</v>
      </c>
      <c r="C40" s="14">
        <v>502000</v>
      </c>
      <c r="D40" s="14">
        <v>514000</v>
      </c>
      <c r="E40" s="14">
        <v>474500</v>
      </c>
      <c r="F40" t="s">
        <v>112</v>
      </c>
      <c r="G40" s="15">
        <v>-1.52E-2</v>
      </c>
    </row>
    <row r="41" spans="1:7" x14ac:dyDescent="0.15">
      <c r="A41" s="86">
        <v>46203</v>
      </c>
      <c r="B41" s="18">
        <v>495000</v>
      </c>
      <c r="C41" s="14">
        <v>505000</v>
      </c>
      <c r="D41" s="14">
        <v>506000</v>
      </c>
      <c r="E41" s="14">
        <v>485250</v>
      </c>
      <c r="F41" t="s">
        <v>113</v>
      </c>
      <c r="G41" s="15">
        <v>-4.0000000000000001E-3</v>
      </c>
    </row>
    <row r="42" spans="1:7" x14ac:dyDescent="0.15">
      <c r="A42" s="86">
        <v>46202</v>
      </c>
      <c r="B42" s="18">
        <v>497000</v>
      </c>
      <c r="C42" s="14">
        <v>480000</v>
      </c>
      <c r="D42" s="14">
        <v>504000</v>
      </c>
      <c r="E42" s="14">
        <v>463000</v>
      </c>
      <c r="F42" t="s">
        <v>114</v>
      </c>
      <c r="G42" s="15">
        <v>3.4299999999999997E-2</v>
      </c>
    </row>
    <row r="43" spans="1:7" x14ac:dyDescent="0.15">
      <c r="A43" s="86">
        <v>46199</v>
      </c>
      <c r="B43" s="18">
        <v>480500</v>
      </c>
      <c r="C43" s="14">
        <v>496500</v>
      </c>
      <c r="D43" s="14">
        <v>502000</v>
      </c>
      <c r="E43" s="14">
        <v>460500</v>
      </c>
      <c r="F43" t="s">
        <v>115</v>
      </c>
      <c r="G43" s="15">
        <v>-4.4699999999999997E-2</v>
      </c>
    </row>
    <row r="44" spans="1:7" x14ac:dyDescent="0.15">
      <c r="A44" s="86">
        <v>46198</v>
      </c>
      <c r="B44" s="18">
        <v>503000</v>
      </c>
      <c r="C44" s="14">
        <v>520000</v>
      </c>
      <c r="D44" s="14">
        <v>524000</v>
      </c>
      <c r="E44" s="14">
        <v>501000</v>
      </c>
      <c r="F44" t="s">
        <v>91</v>
      </c>
      <c r="G44" s="15">
        <v>-1.18E-2</v>
      </c>
    </row>
    <row r="45" spans="1:7" x14ac:dyDescent="0.15">
      <c r="A45" s="86">
        <v>46197</v>
      </c>
      <c r="B45" s="18">
        <v>509000</v>
      </c>
      <c r="C45" s="14">
        <v>513000</v>
      </c>
      <c r="D45" s="14">
        <v>522000</v>
      </c>
      <c r="E45" s="14">
        <v>493500</v>
      </c>
      <c r="F45" t="s">
        <v>116</v>
      </c>
      <c r="G45" s="15">
        <v>-3.8999999999999998E-3</v>
      </c>
    </row>
    <row r="46" spans="1:7" x14ac:dyDescent="0.15">
      <c r="A46" s="86">
        <v>46196</v>
      </c>
      <c r="B46" s="18">
        <v>511000</v>
      </c>
      <c r="C46" s="14">
        <v>582000</v>
      </c>
      <c r="D46" s="14">
        <v>583000</v>
      </c>
      <c r="E46" s="14">
        <v>508000</v>
      </c>
      <c r="F46" t="s">
        <v>117</v>
      </c>
      <c r="G46" s="15">
        <v>-0.1205</v>
      </c>
    </row>
    <row r="47" spans="1:7" x14ac:dyDescent="0.15">
      <c r="A47" s="86">
        <v>46195</v>
      </c>
      <c r="B47" s="18">
        <v>581000</v>
      </c>
      <c r="C47" s="14">
        <v>599000</v>
      </c>
      <c r="D47" s="14">
        <v>600000</v>
      </c>
      <c r="E47" s="14">
        <v>581000</v>
      </c>
      <c r="F47" t="s">
        <v>118</v>
      </c>
      <c r="G47" s="15">
        <v>-5.2200000000000003E-2</v>
      </c>
    </row>
    <row r="48" spans="1:7" x14ac:dyDescent="0.15">
      <c r="A48" s="86">
        <v>46192</v>
      </c>
      <c r="B48" s="18">
        <v>613000</v>
      </c>
      <c r="C48" s="14">
        <v>606000</v>
      </c>
      <c r="D48" s="14">
        <v>631000</v>
      </c>
      <c r="E48" s="14">
        <v>590000</v>
      </c>
      <c r="F48" t="s">
        <v>119</v>
      </c>
      <c r="G48" s="15">
        <v>0.02</v>
      </c>
    </row>
    <row r="49" spans="1:7" x14ac:dyDescent="0.15">
      <c r="A49" s="86">
        <v>46191</v>
      </c>
      <c r="B49" s="18">
        <v>601000</v>
      </c>
      <c r="C49" s="14">
        <v>619000</v>
      </c>
      <c r="D49" s="14">
        <v>620000</v>
      </c>
      <c r="E49" s="14">
        <v>600000</v>
      </c>
      <c r="F49" t="s">
        <v>120</v>
      </c>
      <c r="G49" s="15">
        <v>-2.75E-2</v>
      </c>
    </row>
    <row r="50" spans="1:7" x14ac:dyDescent="0.15">
      <c r="A50" s="86">
        <v>46190</v>
      </c>
      <c r="B50" s="18">
        <v>618000</v>
      </c>
      <c r="C50" s="14">
        <v>633000</v>
      </c>
      <c r="D50" s="14">
        <v>633000</v>
      </c>
      <c r="E50" s="14">
        <v>613000</v>
      </c>
      <c r="F50" t="s">
        <v>121</v>
      </c>
      <c r="G50" s="15">
        <v>-3.44E-2</v>
      </c>
    </row>
    <row r="51" spans="1:7" x14ac:dyDescent="0.15">
      <c r="A51" s="86">
        <v>46189</v>
      </c>
      <c r="B51" s="18">
        <v>640000</v>
      </c>
      <c r="C51" s="14">
        <v>648000</v>
      </c>
      <c r="D51" s="14">
        <v>654000</v>
      </c>
      <c r="E51" s="14">
        <v>627000</v>
      </c>
      <c r="F51" t="s">
        <v>122</v>
      </c>
      <c r="G51" s="15">
        <v>-1.0800000000000001E-2</v>
      </c>
    </row>
    <row r="52" spans="1:7" x14ac:dyDescent="0.15">
      <c r="A52" s="86">
        <v>46188</v>
      </c>
      <c r="B52" s="18">
        <v>647000</v>
      </c>
      <c r="C52" s="14">
        <v>638000</v>
      </c>
      <c r="D52" s="14">
        <v>659000</v>
      </c>
      <c r="E52" s="14">
        <v>633000</v>
      </c>
      <c r="F52" t="s">
        <v>123</v>
      </c>
      <c r="G52" s="15">
        <v>6.59E-2</v>
      </c>
    </row>
    <row r="53" spans="1:7" x14ac:dyDescent="0.15">
      <c r="A53" s="86">
        <v>46185</v>
      </c>
      <c r="B53" s="18">
        <v>607000</v>
      </c>
      <c r="C53" s="14">
        <v>635000</v>
      </c>
      <c r="D53" s="14">
        <v>644000</v>
      </c>
      <c r="E53" s="14">
        <v>604000</v>
      </c>
      <c r="F53" t="s">
        <v>93</v>
      </c>
      <c r="G53" s="15">
        <v>1.6799999999999999E-2</v>
      </c>
    </row>
    <row r="54" spans="1:7" x14ac:dyDescent="0.15">
      <c r="A54" s="86">
        <v>46184</v>
      </c>
      <c r="B54" s="18">
        <v>597000</v>
      </c>
      <c r="C54" s="14">
        <v>570000</v>
      </c>
      <c r="D54" s="14">
        <v>598000</v>
      </c>
      <c r="E54" s="14">
        <v>561000</v>
      </c>
      <c r="F54" t="s">
        <v>124</v>
      </c>
      <c r="G54" s="15">
        <v>-8.3000000000000001E-3</v>
      </c>
    </row>
    <row r="55" spans="1:7" x14ac:dyDescent="0.15">
      <c r="A55" s="86">
        <v>46183</v>
      </c>
      <c r="B55" s="18">
        <v>602000</v>
      </c>
      <c r="C55" s="14">
        <v>637000</v>
      </c>
      <c r="D55" s="14">
        <v>653000</v>
      </c>
      <c r="E55" s="14">
        <v>583000</v>
      </c>
      <c r="F55" t="s">
        <v>125</v>
      </c>
      <c r="G55" s="15">
        <v>-5.79E-2</v>
      </c>
    </row>
    <row r="56" spans="1:7" x14ac:dyDescent="0.15">
      <c r="A56" s="86">
        <v>46182</v>
      </c>
      <c r="B56" s="18">
        <v>639000</v>
      </c>
      <c r="C56" s="14">
        <v>660000</v>
      </c>
      <c r="D56" s="14">
        <v>667000</v>
      </c>
      <c r="E56" s="14">
        <v>620000</v>
      </c>
      <c r="F56" t="s">
        <v>126</v>
      </c>
      <c r="G56" s="15">
        <v>0</v>
      </c>
    </row>
    <row r="57" spans="1:7" x14ac:dyDescent="0.15">
      <c r="A57" s="86">
        <v>46181</v>
      </c>
      <c r="B57" s="18">
        <v>639000</v>
      </c>
      <c r="C57" s="14">
        <v>621000</v>
      </c>
      <c r="D57" s="14">
        <v>664000</v>
      </c>
      <c r="E57" s="14">
        <v>620000</v>
      </c>
      <c r="F57" t="s">
        <v>127</v>
      </c>
      <c r="G57" s="15">
        <v>-8.7099999999999997E-2</v>
      </c>
    </row>
    <row r="58" spans="1:7" x14ac:dyDescent="0.15">
      <c r="A58" s="86">
        <v>46178</v>
      </c>
      <c r="B58" s="18">
        <v>700000</v>
      </c>
      <c r="C58" s="14">
        <v>691000</v>
      </c>
      <c r="D58" s="14">
        <v>715000</v>
      </c>
      <c r="E58" s="14">
        <v>650000</v>
      </c>
      <c r="F58" t="s">
        <v>128</v>
      </c>
      <c r="G58" s="15">
        <v>0</v>
      </c>
    </row>
    <row r="59" spans="1:7" x14ac:dyDescent="0.15">
      <c r="A59" s="86">
        <v>46177</v>
      </c>
      <c r="B59" s="18">
        <v>700000</v>
      </c>
      <c r="C59" s="14">
        <v>708000</v>
      </c>
      <c r="D59" s="14">
        <v>727000</v>
      </c>
      <c r="E59" s="14">
        <v>692000</v>
      </c>
      <c r="F59" t="s">
        <v>129</v>
      </c>
      <c r="G59" s="15">
        <v>-3.9800000000000002E-2</v>
      </c>
    </row>
    <row r="60" spans="1:7" x14ac:dyDescent="0.15">
      <c r="A60" s="86">
        <v>46175</v>
      </c>
      <c r="B60" s="18">
        <v>729000</v>
      </c>
      <c r="C60" s="14">
        <v>770000</v>
      </c>
      <c r="D60" s="14">
        <v>772000</v>
      </c>
      <c r="E60" s="14">
        <v>697000</v>
      </c>
      <c r="F60" t="s">
        <v>130</v>
      </c>
      <c r="G60" s="15">
        <v>-2.8000000000000001E-2</v>
      </c>
    </row>
    <row r="61" spans="1:7" x14ac:dyDescent="0.15">
      <c r="A61" s="86">
        <v>46174</v>
      </c>
      <c r="B61" s="18">
        <v>750000</v>
      </c>
      <c r="C61" s="14">
        <v>736000</v>
      </c>
      <c r="D61" s="14">
        <v>783000</v>
      </c>
      <c r="E61" s="14">
        <v>727000</v>
      </c>
      <c r="F61" t="s">
        <v>131</v>
      </c>
      <c r="G61" s="15">
        <v>3.73E-2</v>
      </c>
    </row>
    <row r="62" spans="1:7" x14ac:dyDescent="0.15">
      <c r="A62" s="86">
        <v>46171</v>
      </c>
      <c r="B62" s="18">
        <v>723000</v>
      </c>
      <c r="C62" s="14">
        <v>704000</v>
      </c>
      <c r="D62" s="14">
        <v>739000</v>
      </c>
      <c r="E62" s="14">
        <v>701000</v>
      </c>
      <c r="F62" t="s">
        <v>132</v>
      </c>
      <c r="G62" s="15">
        <v>6.7900000000000002E-2</v>
      </c>
    </row>
    <row r="63" spans="1:7" x14ac:dyDescent="0.15">
      <c r="A63" s="86">
        <v>46170</v>
      </c>
      <c r="B63" s="18">
        <v>677000</v>
      </c>
      <c r="C63" s="14">
        <v>709000</v>
      </c>
      <c r="D63" s="14">
        <v>714000</v>
      </c>
      <c r="E63" s="14">
        <v>651000</v>
      </c>
      <c r="F63" t="s">
        <v>133</v>
      </c>
      <c r="G63" s="15">
        <v>-5.8999999999999999E-3</v>
      </c>
    </row>
    <row r="64" spans="1:7" x14ac:dyDescent="0.15">
      <c r="A64" s="86">
        <v>46169</v>
      </c>
      <c r="B64" s="18">
        <v>681000</v>
      </c>
      <c r="C64" s="14">
        <v>691000</v>
      </c>
      <c r="D64" s="14">
        <v>693000</v>
      </c>
      <c r="E64" s="14">
        <v>666000</v>
      </c>
      <c r="F64" t="s">
        <v>134</v>
      </c>
      <c r="G64" s="15">
        <v>-1.1599999999999999E-2</v>
      </c>
    </row>
    <row r="65" spans="1:7" x14ac:dyDescent="0.15">
      <c r="A65" s="86">
        <v>46168</v>
      </c>
      <c r="B65" s="18">
        <v>689000</v>
      </c>
      <c r="C65" s="14">
        <v>679000</v>
      </c>
      <c r="D65" s="14">
        <v>694000</v>
      </c>
      <c r="E65" s="14">
        <v>667000</v>
      </c>
      <c r="F65" t="s">
        <v>135</v>
      </c>
      <c r="G65" s="15">
        <v>5.1900000000000002E-2</v>
      </c>
    </row>
    <row r="66" spans="1:7" x14ac:dyDescent="0.15">
      <c r="A66" s="86">
        <v>46164</v>
      </c>
      <c r="B66" s="18">
        <v>655000</v>
      </c>
      <c r="C66" s="14">
        <v>666000</v>
      </c>
      <c r="D66" s="14">
        <v>667000</v>
      </c>
      <c r="E66" s="14">
        <v>642000</v>
      </c>
      <c r="F66" t="s">
        <v>136</v>
      </c>
      <c r="G66" s="15">
        <v>-1.6500000000000001E-2</v>
      </c>
    </row>
    <row r="67" spans="1:7" x14ac:dyDescent="0.15">
      <c r="A67" s="86">
        <v>46163</v>
      </c>
      <c r="B67" s="18">
        <v>666000</v>
      </c>
      <c r="C67" s="14">
        <v>614000</v>
      </c>
      <c r="D67" s="14">
        <v>672000</v>
      </c>
      <c r="E67" s="14">
        <v>607000</v>
      </c>
      <c r="F67" t="s">
        <v>137</v>
      </c>
      <c r="G67" s="15">
        <v>0.125</v>
      </c>
    </row>
    <row r="68" spans="1:7" x14ac:dyDescent="0.15">
      <c r="A68" s="86">
        <v>46162</v>
      </c>
      <c r="B68" s="18">
        <v>592000</v>
      </c>
      <c r="C68" s="14">
        <v>601000</v>
      </c>
      <c r="D68" s="14">
        <v>605000</v>
      </c>
      <c r="E68" s="14">
        <v>570000</v>
      </c>
      <c r="F68" t="s">
        <v>138</v>
      </c>
      <c r="G68" s="15">
        <v>-1.9900000000000001E-2</v>
      </c>
    </row>
    <row r="69" spans="1:7" x14ac:dyDescent="0.15">
      <c r="A69" s="86">
        <v>46161</v>
      </c>
      <c r="B69" s="18">
        <v>604000</v>
      </c>
      <c r="C69" s="14">
        <v>661000</v>
      </c>
      <c r="D69" s="14">
        <v>661000</v>
      </c>
      <c r="E69" s="14">
        <v>596000</v>
      </c>
      <c r="F69" t="s">
        <v>139</v>
      </c>
      <c r="G69" s="15">
        <v>-8.8999999999999996E-2</v>
      </c>
    </row>
    <row r="70" spans="1:7" x14ac:dyDescent="0.15">
      <c r="A70" s="86">
        <v>46160</v>
      </c>
      <c r="B70" s="18">
        <v>663000</v>
      </c>
      <c r="C70" s="14">
        <v>688000</v>
      </c>
      <c r="D70" s="14">
        <v>697000</v>
      </c>
      <c r="E70" s="14">
        <v>638000</v>
      </c>
      <c r="F70" t="s">
        <v>140</v>
      </c>
      <c r="G70" s="15">
        <v>-5.2900000000000003E-2</v>
      </c>
    </row>
    <row r="71" spans="1:7" x14ac:dyDescent="0.15">
      <c r="A71" s="86">
        <v>46157</v>
      </c>
      <c r="B71" s="18">
        <v>700000</v>
      </c>
      <c r="C71" s="14">
        <v>725000</v>
      </c>
      <c r="D71" s="14">
        <v>774500</v>
      </c>
      <c r="E71" s="14">
        <v>678000</v>
      </c>
      <c r="F71" t="s">
        <v>141</v>
      </c>
      <c r="G71" s="15">
        <v>-1.6899999999999998E-2</v>
      </c>
    </row>
    <row r="72" spans="1:7" x14ac:dyDescent="0.15">
      <c r="A72" s="86">
        <v>46156</v>
      </c>
      <c r="B72" s="18">
        <v>712000</v>
      </c>
      <c r="C72" s="14">
        <v>724000</v>
      </c>
      <c r="D72" s="14">
        <v>730000</v>
      </c>
      <c r="E72" s="14">
        <v>692000</v>
      </c>
      <c r="F72" t="s">
        <v>142</v>
      </c>
      <c r="G72" s="15">
        <v>2.8E-3</v>
      </c>
    </row>
    <row r="73" spans="1:7" x14ac:dyDescent="0.15">
      <c r="A73" s="86">
        <v>46155</v>
      </c>
      <c r="B73" s="18">
        <v>710000</v>
      </c>
      <c r="C73" s="14">
        <v>642000</v>
      </c>
      <c r="D73" s="14">
        <v>710000</v>
      </c>
      <c r="E73" s="14">
        <v>642000</v>
      </c>
      <c r="F73" t="s">
        <v>143</v>
      </c>
      <c r="G73" s="15">
        <v>9.9099999999999994E-2</v>
      </c>
    </row>
    <row r="74" spans="1:7" x14ac:dyDescent="0.15">
      <c r="A74" s="86">
        <v>46154</v>
      </c>
      <c r="B74" s="18">
        <v>646000</v>
      </c>
      <c r="C74" s="14">
        <v>673000</v>
      </c>
      <c r="D74" s="14">
        <v>702500</v>
      </c>
      <c r="E74" s="14">
        <v>606000</v>
      </c>
      <c r="F74" t="s">
        <v>144</v>
      </c>
      <c r="G74" s="15">
        <v>0</v>
      </c>
    </row>
    <row r="75" spans="1:7" x14ac:dyDescent="0.15">
      <c r="A75" s="86">
        <v>46153</v>
      </c>
      <c r="B75" s="18">
        <v>646000</v>
      </c>
      <c r="C75" s="14">
        <v>631000</v>
      </c>
      <c r="D75" s="14">
        <v>654000</v>
      </c>
      <c r="E75" s="14">
        <v>610000</v>
      </c>
      <c r="F75" t="s">
        <v>145</v>
      </c>
      <c r="G75" s="15">
        <v>5.3800000000000001E-2</v>
      </c>
    </row>
    <row r="76" spans="1:7" x14ac:dyDescent="0.15">
      <c r="A76" s="86">
        <v>46150</v>
      </c>
      <c r="B76" s="18">
        <v>613000</v>
      </c>
      <c r="C76" s="14">
        <v>590000</v>
      </c>
      <c r="D76" s="14">
        <v>647000</v>
      </c>
      <c r="E76" s="14">
        <v>581000</v>
      </c>
      <c r="F76" t="s">
        <v>146</v>
      </c>
      <c r="G76" s="15">
        <v>7.17E-2</v>
      </c>
    </row>
    <row r="77" spans="1:7" x14ac:dyDescent="0.15">
      <c r="A77" s="86">
        <v>46149</v>
      </c>
      <c r="B77" s="18">
        <v>572000</v>
      </c>
      <c r="C77" s="14">
        <v>579000</v>
      </c>
      <c r="D77" s="14">
        <v>596000</v>
      </c>
      <c r="E77" s="14">
        <v>558000</v>
      </c>
      <c r="F77" t="s">
        <v>147</v>
      </c>
      <c r="G77" s="15">
        <v>0.04</v>
      </c>
    </row>
    <row r="78" spans="1:7" x14ac:dyDescent="0.15">
      <c r="A78" s="86">
        <v>46148</v>
      </c>
      <c r="B78" s="18">
        <v>550000</v>
      </c>
      <c r="C78" s="14">
        <v>545000</v>
      </c>
      <c r="D78" s="14">
        <v>564000</v>
      </c>
      <c r="E78" s="14">
        <v>541000</v>
      </c>
      <c r="F78" t="s">
        <v>148</v>
      </c>
      <c r="G78" s="15">
        <v>2.0400000000000001E-2</v>
      </c>
    </row>
    <row r="79" spans="1:7" x14ac:dyDescent="0.15">
      <c r="A79" s="86">
        <v>46146</v>
      </c>
      <c r="B79" s="18">
        <v>539000</v>
      </c>
      <c r="C79" s="14">
        <v>545000</v>
      </c>
      <c r="D79" s="14">
        <v>547000</v>
      </c>
      <c r="E79" s="14">
        <v>532000</v>
      </c>
      <c r="F79" t="s">
        <v>149</v>
      </c>
      <c r="G79" s="15">
        <v>1.5100000000000001E-2</v>
      </c>
    </row>
    <row r="80" spans="1:7" x14ac:dyDescent="0.15">
      <c r="A80" s="86">
        <v>46142</v>
      </c>
      <c r="B80" s="18">
        <v>531000</v>
      </c>
      <c r="C80" s="14">
        <v>556000</v>
      </c>
      <c r="D80" s="14">
        <v>560000</v>
      </c>
      <c r="E80" s="14">
        <v>531000</v>
      </c>
      <c r="F80" t="s">
        <v>150</v>
      </c>
      <c r="G80" s="15">
        <v>-4.4999999999999998E-2</v>
      </c>
    </row>
    <row r="81" spans="1:7" x14ac:dyDescent="0.15">
      <c r="A81" s="86">
        <v>46141</v>
      </c>
      <c r="B81" s="18">
        <v>556000</v>
      </c>
      <c r="C81" s="14">
        <v>565000</v>
      </c>
      <c r="D81" s="14">
        <v>565000</v>
      </c>
      <c r="E81" s="14">
        <v>546000</v>
      </c>
      <c r="F81" t="s">
        <v>151</v>
      </c>
      <c r="G81" s="15">
        <v>1.8E-3</v>
      </c>
    </row>
    <row r="82" spans="1:7" x14ac:dyDescent="0.15">
      <c r="A82" s="86">
        <v>46140</v>
      </c>
      <c r="B82" s="18">
        <v>555000</v>
      </c>
      <c r="C82" s="14">
        <v>533000</v>
      </c>
      <c r="D82" s="14">
        <v>574000</v>
      </c>
      <c r="E82" s="14">
        <v>525000</v>
      </c>
      <c r="F82" t="s">
        <v>152</v>
      </c>
      <c r="G82" s="15">
        <v>5.9200000000000003E-2</v>
      </c>
    </row>
    <row r="83" spans="1:7" x14ac:dyDescent="0.15">
      <c r="A83" s="86">
        <v>46139</v>
      </c>
      <c r="B83" s="18">
        <v>524000</v>
      </c>
      <c r="C83" s="14">
        <v>520000</v>
      </c>
      <c r="D83" s="14">
        <v>533000</v>
      </c>
      <c r="E83" s="14">
        <v>515000</v>
      </c>
      <c r="F83" t="s">
        <v>153</v>
      </c>
      <c r="G83" s="15">
        <v>2.1399999999999999E-2</v>
      </c>
    </row>
    <row r="84" spans="1:7" x14ac:dyDescent="0.15">
      <c r="A84" s="86">
        <v>46136</v>
      </c>
      <c r="B84" s="18">
        <v>513000</v>
      </c>
      <c r="C84" s="14">
        <v>525000</v>
      </c>
      <c r="D84" s="14">
        <v>526000</v>
      </c>
      <c r="E84" s="14">
        <v>510000</v>
      </c>
      <c r="F84" t="s">
        <v>154</v>
      </c>
      <c r="G84" s="15">
        <v>-3.5700000000000003E-2</v>
      </c>
    </row>
    <row r="85" spans="1:7" x14ac:dyDescent="0.15">
      <c r="A85" s="86">
        <v>46135</v>
      </c>
      <c r="B85" s="18">
        <v>532000</v>
      </c>
      <c r="C85" s="14">
        <v>547000</v>
      </c>
      <c r="D85" s="14">
        <v>551000</v>
      </c>
      <c r="E85" s="14">
        <v>525000</v>
      </c>
      <c r="F85" t="s">
        <v>155</v>
      </c>
      <c r="G85" s="15">
        <v>-1.66E-2</v>
      </c>
    </row>
    <row r="86" spans="1:7" x14ac:dyDescent="0.15">
      <c r="A86" s="86">
        <v>46134</v>
      </c>
      <c r="B86" s="18">
        <v>541000</v>
      </c>
      <c r="C86" s="14">
        <v>540000</v>
      </c>
      <c r="D86" s="14">
        <v>542000</v>
      </c>
      <c r="E86" s="14">
        <v>531000</v>
      </c>
      <c r="F86" t="s">
        <v>156</v>
      </c>
      <c r="G86" s="15">
        <v>-9.1999999999999998E-3</v>
      </c>
    </row>
    <row r="87" spans="1:7" x14ac:dyDescent="0.15">
      <c r="A87" s="86">
        <v>46133</v>
      </c>
      <c r="B87" s="18">
        <v>546000</v>
      </c>
      <c r="C87" s="14">
        <v>534000</v>
      </c>
      <c r="D87" s="14">
        <v>548000</v>
      </c>
      <c r="E87" s="14">
        <v>530000</v>
      </c>
      <c r="F87" t="s">
        <v>157</v>
      </c>
      <c r="G87" s="15">
        <v>3.61E-2</v>
      </c>
    </row>
    <row r="88" spans="1:7" x14ac:dyDescent="0.15">
      <c r="A88" s="86">
        <v>46132</v>
      </c>
      <c r="B88" s="18">
        <v>527000</v>
      </c>
      <c r="C88" s="14">
        <v>533000</v>
      </c>
      <c r="D88" s="14">
        <v>541000</v>
      </c>
      <c r="E88" s="14">
        <v>526000</v>
      </c>
      <c r="F88" t="s">
        <v>158</v>
      </c>
      <c r="G88" s="15">
        <v>-2.0400000000000001E-2</v>
      </c>
    </row>
    <row r="89" spans="1:7" x14ac:dyDescent="0.15">
      <c r="A89" s="86">
        <v>46129</v>
      </c>
      <c r="B89" s="18">
        <v>538000</v>
      </c>
      <c r="C89" s="14">
        <v>547000</v>
      </c>
      <c r="D89" s="14">
        <v>548000</v>
      </c>
      <c r="E89" s="14">
        <v>531000</v>
      </c>
      <c r="F89" t="s">
        <v>159</v>
      </c>
      <c r="G89" s="15">
        <v>7.4999999999999997E-3</v>
      </c>
    </row>
    <row r="90" spans="1:7" x14ac:dyDescent="0.15">
      <c r="A90" s="86">
        <v>46128</v>
      </c>
      <c r="B90" s="18">
        <v>534000</v>
      </c>
      <c r="C90" s="14">
        <v>530000</v>
      </c>
      <c r="D90" s="14">
        <v>544000</v>
      </c>
      <c r="E90" s="14">
        <v>527000</v>
      </c>
      <c r="F90" t="s">
        <v>160</v>
      </c>
      <c r="G90" s="15">
        <v>5.1200000000000002E-2</v>
      </c>
    </row>
    <row r="91" spans="1:7" x14ac:dyDescent="0.15">
      <c r="A91" s="86">
        <v>46127</v>
      </c>
      <c r="B91" s="18">
        <v>508000</v>
      </c>
      <c r="C91" s="14">
        <v>510000</v>
      </c>
      <c r="D91" s="14">
        <v>519000</v>
      </c>
      <c r="E91" s="14">
        <v>502000</v>
      </c>
      <c r="F91" t="s">
        <v>161</v>
      </c>
      <c r="G91" s="15">
        <v>3.3599999999999998E-2</v>
      </c>
    </row>
    <row r="92" spans="1:7" x14ac:dyDescent="0.15">
      <c r="A92" s="86">
        <v>46126</v>
      </c>
      <c r="B92" s="18">
        <v>491500</v>
      </c>
      <c r="C92" s="14">
        <v>492500</v>
      </c>
      <c r="D92" s="14">
        <v>501500</v>
      </c>
      <c r="E92" s="14">
        <v>489000</v>
      </c>
      <c r="F92" t="s">
        <v>162</v>
      </c>
      <c r="G92" s="15">
        <v>2.7199999999999998E-2</v>
      </c>
    </row>
    <row r="93" spans="1:7" x14ac:dyDescent="0.15">
      <c r="A93" s="86">
        <v>46125</v>
      </c>
      <c r="B93" s="18">
        <v>478500</v>
      </c>
      <c r="C93" s="14">
        <v>476500</v>
      </c>
      <c r="D93" s="14">
        <v>486500</v>
      </c>
      <c r="E93" s="14">
        <v>474500</v>
      </c>
      <c r="F93" t="s">
        <v>163</v>
      </c>
      <c r="G93" s="15">
        <v>-2.2499999999999999E-2</v>
      </c>
    </row>
    <row r="94" spans="1:7" x14ac:dyDescent="0.15">
      <c r="A94" s="86">
        <v>46122</v>
      </c>
      <c r="B94" s="18">
        <v>489500</v>
      </c>
      <c r="C94" s="14">
        <v>498000</v>
      </c>
      <c r="D94" s="14">
        <v>499500</v>
      </c>
      <c r="E94" s="14">
        <v>489500</v>
      </c>
      <c r="F94" t="s">
        <v>164</v>
      </c>
      <c r="G94" s="15">
        <v>0</v>
      </c>
    </row>
    <row r="95" spans="1:7" x14ac:dyDescent="0.15">
      <c r="A95" s="86">
        <v>46121</v>
      </c>
      <c r="B95" s="18">
        <v>489500</v>
      </c>
      <c r="C95" s="14">
        <v>510000</v>
      </c>
      <c r="D95" s="14">
        <v>514000</v>
      </c>
      <c r="E95" s="14">
        <v>487000</v>
      </c>
      <c r="F95" t="s">
        <v>165</v>
      </c>
      <c r="G95" s="15">
        <v>-3.6400000000000002E-2</v>
      </c>
    </row>
    <row r="96" spans="1:7" x14ac:dyDescent="0.15">
      <c r="A96" s="86">
        <v>46120</v>
      </c>
      <c r="B96" s="18">
        <v>508000</v>
      </c>
      <c r="C96" s="14">
        <v>500000</v>
      </c>
      <c r="D96" s="14">
        <v>510000</v>
      </c>
      <c r="E96" s="14">
        <v>490000</v>
      </c>
      <c r="F96" t="s">
        <v>103</v>
      </c>
      <c r="G96" s="15">
        <v>7.3999999999999996E-2</v>
      </c>
    </row>
    <row r="97" spans="1:7" x14ac:dyDescent="0.15">
      <c r="A97" s="86">
        <v>46119</v>
      </c>
      <c r="B97" s="18">
        <v>473000</v>
      </c>
      <c r="C97" s="14">
        <v>477000</v>
      </c>
      <c r="D97" s="14">
        <v>481500</v>
      </c>
      <c r="E97" s="14">
        <v>465500</v>
      </c>
      <c r="F97" t="s">
        <v>166</v>
      </c>
      <c r="G97" s="15">
        <v>8.5000000000000006E-3</v>
      </c>
    </row>
    <row r="98" spans="1:7" x14ac:dyDescent="0.15">
      <c r="A98" s="86">
        <v>46118</v>
      </c>
      <c r="B98" s="18">
        <v>469000</v>
      </c>
      <c r="C98" s="14">
        <v>469500</v>
      </c>
      <c r="D98" s="14">
        <v>477500</v>
      </c>
      <c r="E98" s="14">
        <v>465000</v>
      </c>
      <c r="F98" t="s">
        <v>167</v>
      </c>
      <c r="G98" s="15">
        <v>-4.1999999999999997E-3</v>
      </c>
    </row>
    <row r="99" spans="1:7" x14ac:dyDescent="0.15">
      <c r="A99" s="86">
        <v>46115</v>
      </c>
      <c r="B99" s="18">
        <v>471000</v>
      </c>
      <c r="C99" s="14">
        <v>475500</v>
      </c>
      <c r="D99" s="14">
        <v>485000</v>
      </c>
      <c r="E99" s="14">
        <v>467000</v>
      </c>
      <c r="F99" t="s">
        <v>168</v>
      </c>
      <c r="G99" s="15">
        <v>1.18E-2</v>
      </c>
    </row>
    <row r="100" spans="1:7" x14ac:dyDescent="0.15">
      <c r="A100" s="86">
        <v>46114</v>
      </c>
      <c r="B100" s="18">
        <v>465500</v>
      </c>
      <c r="C100" s="14">
        <v>499000</v>
      </c>
      <c r="D100" s="14">
        <v>499500</v>
      </c>
      <c r="E100" s="14">
        <v>457000</v>
      </c>
      <c r="F100" t="s">
        <v>127</v>
      </c>
      <c r="G100" s="15">
        <v>-4.6100000000000002E-2</v>
      </c>
    </row>
    <row r="101" spans="1:7" x14ac:dyDescent="0.15">
      <c r="A101" s="86">
        <v>46113</v>
      </c>
      <c r="B101" s="18">
        <v>488000</v>
      </c>
      <c r="C101" s="14">
        <v>472000</v>
      </c>
      <c r="D101" s="14">
        <v>492500</v>
      </c>
      <c r="E101" s="14">
        <v>466000</v>
      </c>
      <c r="F101" t="s">
        <v>169</v>
      </c>
      <c r="G101" s="15">
        <v>9.5399999999999999E-2</v>
      </c>
    </row>
    <row r="102" spans="1:7" x14ac:dyDescent="0.15">
      <c r="A102" s="86">
        <v>46112</v>
      </c>
      <c r="B102" s="18">
        <v>445500</v>
      </c>
      <c r="C102" s="14">
        <v>459500</v>
      </c>
      <c r="D102" s="14">
        <v>464000</v>
      </c>
      <c r="E102" s="14">
        <v>445000</v>
      </c>
      <c r="F102" t="s">
        <v>81</v>
      </c>
      <c r="G102" s="15">
        <v>-5.11E-2</v>
      </c>
    </row>
    <row r="103" spans="1:7" x14ac:dyDescent="0.15">
      <c r="A103" s="86">
        <v>46111</v>
      </c>
      <c r="B103" s="18">
        <v>469500</v>
      </c>
      <c r="C103" s="14">
        <v>468500</v>
      </c>
      <c r="D103" s="14">
        <v>472500</v>
      </c>
      <c r="E103" s="14">
        <v>461000</v>
      </c>
      <c r="F103" t="s">
        <v>170</v>
      </c>
      <c r="G103" s="15">
        <v>-5.1499999999999997E-2</v>
      </c>
    </row>
    <row r="104" spans="1:7" x14ac:dyDescent="0.15">
      <c r="A104" s="86">
        <v>46108</v>
      </c>
      <c r="B104" s="18">
        <v>495000</v>
      </c>
      <c r="C104" s="14">
        <v>472500</v>
      </c>
      <c r="D104" s="14">
        <v>498500</v>
      </c>
      <c r="E104" s="14">
        <v>467000</v>
      </c>
      <c r="F104" t="s">
        <v>171</v>
      </c>
      <c r="G104" s="15">
        <v>1.0200000000000001E-2</v>
      </c>
    </row>
    <row r="105" spans="1:7" x14ac:dyDescent="0.15">
      <c r="A105" s="86">
        <v>46107</v>
      </c>
      <c r="B105" s="18">
        <v>490000</v>
      </c>
      <c r="C105" s="14">
        <v>496000</v>
      </c>
      <c r="D105" s="14">
        <v>499500</v>
      </c>
      <c r="E105" s="14">
        <v>486000</v>
      </c>
      <c r="F105" t="s">
        <v>172</v>
      </c>
      <c r="G105" s="15">
        <v>-2.1999999999999999E-2</v>
      </c>
    </row>
    <row r="106" spans="1:7" x14ac:dyDescent="0.15">
      <c r="A106" s="86">
        <v>46106</v>
      </c>
      <c r="B106" s="18">
        <v>501000</v>
      </c>
      <c r="C106" s="14">
        <v>509000</v>
      </c>
      <c r="D106" s="14">
        <v>518000</v>
      </c>
      <c r="E106" s="14">
        <v>498500</v>
      </c>
      <c r="F106" t="s">
        <v>173</v>
      </c>
      <c r="G106" s="15">
        <v>1.83E-2</v>
      </c>
    </row>
    <row r="107" spans="1:7" x14ac:dyDescent="0.15">
      <c r="A107" s="86">
        <v>46105</v>
      </c>
      <c r="B107" s="18">
        <v>492000</v>
      </c>
      <c r="C107" s="14">
        <v>508000</v>
      </c>
      <c r="D107" s="14">
        <v>509000</v>
      </c>
      <c r="E107" s="14">
        <v>484000</v>
      </c>
      <c r="F107" t="s">
        <v>91</v>
      </c>
      <c r="G107" s="15">
        <v>1.44E-2</v>
      </c>
    </row>
    <row r="108" spans="1:7" x14ac:dyDescent="0.15">
      <c r="A108" s="86">
        <v>46104</v>
      </c>
      <c r="B108" s="18">
        <v>485000</v>
      </c>
      <c r="C108" s="14">
        <v>500000</v>
      </c>
      <c r="D108" s="14">
        <v>501000</v>
      </c>
      <c r="E108" s="14">
        <v>485000</v>
      </c>
      <c r="F108" t="s">
        <v>126</v>
      </c>
      <c r="G108" s="15">
        <v>-6.1899999999999997E-2</v>
      </c>
    </row>
    <row r="109" spans="1:7" x14ac:dyDescent="0.15">
      <c r="A109" s="86">
        <v>46101</v>
      </c>
      <c r="B109" s="18">
        <v>517000</v>
      </c>
      <c r="C109" s="14">
        <v>527000</v>
      </c>
      <c r="D109" s="14">
        <v>528000</v>
      </c>
      <c r="E109" s="14">
        <v>517000</v>
      </c>
      <c r="F109" t="s">
        <v>174</v>
      </c>
      <c r="G109" s="15">
        <v>-9.5999999999999992E-3</v>
      </c>
    </row>
    <row r="110" spans="1:7" x14ac:dyDescent="0.15">
      <c r="A110" s="86">
        <v>46100</v>
      </c>
      <c r="B110" s="18">
        <v>522000</v>
      </c>
      <c r="C110" s="14">
        <v>521000</v>
      </c>
      <c r="D110" s="14">
        <v>530000</v>
      </c>
      <c r="E110" s="14">
        <v>521000</v>
      </c>
      <c r="F110" t="s">
        <v>175</v>
      </c>
      <c r="G110" s="15">
        <v>-4.2200000000000001E-2</v>
      </c>
    </row>
    <row r="111" spans="1:7" x14ac:dyDescent="0.15">
      <c r="A111" s="86">
        <v>46099</v>
      </c>
      <c r="B111" s="18">
        <v>545000</v>
      </c>
      <c r="C111" s="14">
        <v>536000</v>
      </c>
      <c r="D111" s="14">
        <v>545000</v>
      </c>
      <c r="E111" s="14">
        <v>530000</v>
      </c>
      <c r="F111" t="s">
        <v>176</v>
      </c>
      <c r="G111" s="15">
        <v>4.41E-2</v>
      </c>
    </row>
    <row r="112" spans="1:7" x14ac:dyDescent="0.15">
      <c r="A112" s="86">
        <v>46098</v>
      </c>
      <c r="B112" s="18">
        <v>522000</v>
      </c>
      <c r="C112" s="14">
        <v>528000</v>
      </c>
      <c r="D112" s="14">
        <v>544000</v>
      </c>
      <c r="E112" s="14">
        <v>520000</v>
      </c>
      <c r="F112" t="s">
        <v>177</v>
      </c>
      <c r="G112" s="15">
        <v>3.1600000000000003E-2</v>
      </c>
    </row>
    <row r="113" spans="1:7" x14ac:dyDescent="0.15">
      <c r="A113" s="86">
        <v>46097</v>
      </c>
      <c r="B113" s="18">
        <v>506000</v>
      </c>
      <c r="C113" s="14">
        <v>511000</v>
      </c>
      <c r="D113" s="14">
        <v>520000</v>
      </c>
      <c r="E113" s="14">
        <v>499000</v>
      </c>
      <c r="F113" t="s">
        <v>177</v>
      </c>
      <c r="G113" s="15">
        <v>-2.1299999999999999E-2</v>
      </c>
    </row>
    <row r="114" spans="1:7" x14ac:dyDescent="0.15">
      <c r="A114" s="86">
        <v>46094</v>
      </c>
      <c r="B114" s="18">
        <v>517000</v>
      </c>
      <c r="C114" s="14">
        <v>502000</v>
      </c>
      <c r="D114" s="14">
        <v>529500</v>
      </c>
      <c r="E114" s="14">
        <v>501000</v>
      </c>
      <c r="F114" t="s">
        <v>178</v>
      </c>
      <c r="G114" s="15">
        <v>-7.7000000000000002E-3</v>
      </c>
    </row>
    <row r="115" spans="1:7" x14ac:dyDescent="0.15">
      <c r="A115" s="86">
        <v>46093</v>
      </c>
      <c r="B115" s="18">
        <v>521000</v>
      </c>
      <c r="C115" s="14">
        <v>524000</v>
      </c>
      <c r="D115" s="14">
        <v>528000</v>
      </c>
      <c r="E115" s="14">
        <v>513000</v>
      </c>
      <c r="F115" t="s">
        <v>150</v>
      </c>
      <c r="G115" s="15">
        <v>-1.7000000000000001E-2</v>
      </c>
    </row>
    <row r="116" spans="1:7" x14ac:dyDescent="0.15">
      <c r="A116" s="86">
        <v>46092</v>
      </c>
      <c r="B116" s="18">
        <v>530000</v>
      </c>
      <c r="C116" s="14">
        <v>550000</v>
      </c>
      <c r="D116" s="14">
        <v>561000</v>
      </c>
      <c r="E116" s="14">
        <v>523000</v>
      </c>
      <c r="F116" t="s">
        <v>179</v>
      </c>
      <c r="G116" s="15">
        <v>9.4999999999999998E-3</v>
      </c>
    </row>
    <row r="117" spans="1:7" x14ac:dyDescent="0.15">
      <c r="A117" s="86">
        <v>46091</v>
      </c>
      <c r="B117" s="18">
        <v>525000</v>
      </c>
      <c r="C117" s="14">
        <v>538000</v>
      </c>
      <c r="D117" s="14">
        <v>541000</v>
      </c>
      <c r="E117" s="14">
        <v>519000</v>
      </c>
      <c r="F117" t="s">
        <v>180</v>
      </c>
      <c r="G117" s="15">
        <v>3.5499999999999997E-2</v>
      </c>
    </row>
    <row r="118" spans="1:7" x14ac:dyDescent="0.15">
      <c r="A118" s="86">
        <v>46090</v>
      </c>
      <c r="B118" s="18">
        <v>507000</v>
      </c>
      <c r="C118" s="14">
        <v>504000</v>
      </c>
      <c r="D118" s="14">
        <v>511000</v>
      </c>
      <c r="E118" s="14">
        <v>491000</v>
      </c>
      <c r="F118" t="s">
        <v>181</v>
      </c>
      <c r="G118" s="15">
        <v>-8.3199999999999996E-2</v>
      </c>
    </row>
    <row r="119" spans="1:7" x14ac:dyDescent="0.15">
      <c r="A119" s="86">
        <v>46087</v>
      </c>
      <c r="B119" s="18">
        <v>553000</v>
      </c>
      <c r="C119" s="14">
        <v>532000</v>
      </c>
      <c r="D119" s="14">
        <v>564000</v>
      </c>
      <c r="E119" s="14">
        <v>530000</v>
      </c>
      <c r="F119" t="s">
        <v>182</v>
      </c>
      <c r="G119" s="15">
        <v>9.1000000000000004E-3</v>
      </c>
    </row>
    <row r="120" spans="1:7" x14ac:dyDescent="0.15">
      <c r="A120" s="86">
        <v>46086</v>
      </c>
      <c r="B120" s="18">
        <v>548000</v>
      </c>
      <c r="C120" s="14">
        <v>565000</v>
      </c>
      <c r="D120" s="14">
        <v>582000</v>
      </c>
      <c r="E120" s="14">
        <v>540000</v>
      </c>
      <c r="F120" t="s">
        <v>183</v>
      </c>
      <c r="G120" s="15">
        <v>9.3799999999999994E-2</v>
      </c>
    </row>
    <row r="121" spans="1:7" x14ac:dyDescent="0.15">
      <c r="A121" s="86">
        <v>46085</v>
      </c>
      <c r="B121" s="18">
        <v>501000</v>
      </c>
      <c r="C121" s="14">
        <v>560000</v>
      </c>
      <c r="D121" s="14">
        <v>593000</v>
      </c>
      <c r="E121" s="14">
        <v>497500</v>
      </c>
      <c r="F121" t="s">
        <v>184</v>
      </c>
      <c r="G121" s="15">
        <v>-0.158</v>
      </c>
    </row>
    <row r="122" spans="1:7" x14ac:dyDescent="0.15">
      <c r="A122" s="86">
        <v>46084</v>
      </c>
      <c r="B122" s="18">
        <v>595000</v>
      </c>
      <c r="C122" s="14">
        <v>654000</v>
      </c>
      <c r="D122" s="14">
        <v>658000</v>
      </c>
      <c r="E122" s="14">
        <v>594000</v>
      </c>
      <c r="F122" t="s">
        <v>185</v>
      </c>
      <c r="G122" s="15">
        <v>-0.1172</v>
      </c>
    </row>
    <row r="123" spans="1:7" x14ac:dyDescent="0.15">
      <c r="A123" s="86">
        <v>46080</v>
      </c>
      <c r="B123" s="18">
        <v>674000</v>
      </c>
      <c r="C123" s="14">
        <v>592000</v>
      </c>
      <c r="D123" s="14">
        <v>687000</v>
      </c>
      <c r="E123" s="14">
        <v>590000</v>
      </c>
      <c r="F123" t="s">
        <v>186</v>
      </c>
      <c r="G123" s="15">
        <v>0.1067</v>
      </c>
    </row>
    <row r="124" spans="1:7" x14ac:dyDescent="0.15">
      <c r="A124" s="86">
        <v>46079</v>
      </c>
      <c r="B124" s="18">
        <v>609000</v>
      </c>
      <c r="C124" s="14">
        <v>574000</v>
      </c>
      <c r="D124" s="14">
        <v>618000</v>
      </c>
      <c r="E124" s="14">
        <v>563000</v>
      </c>
      <c r="F124" t="s">
        <v>187</v>
      </c>
      <c r="G124" s="15">
        <v>6.4699999999999994E-2</v>
      </c>
    </row>
    <row r="125" spans="1:7" x14ac:dyDescent="0.15">
      <c r="A125" s="86">
        <v>46078</v>
      </c>
      <c r="B125" s="18">
        <v>572000</v>
      </c>
      <c r="C125" s="14">
        <v>535000</v>
      </c>
      <c r="D125" s="14">
        <v>584000</v>
      </c>
      <c r="E125" s="14">
        <v>532000</v>
      </c>
      <c r="F125" t="s">
        <v>188</v>
      </c>
      <c r="G125" s="15">
        <v>9.1600000000000001E-2</v>
      </c>
    </row>
    <row r="126" spans="1:7" x14ac:dyDescent="0.15">
      <c r="A126" s="86">
        <v>46077</v>
      </c>
      <c r="B126" s="18">
        <v>524000</v>
      </c>
      <c r="C126" s="14">
        <v>522000</v>
      </c>
      <c r="D126" s="14">
        <v>530000</v>
      </c>
      <c r="E126" s="14">
        <v>505000</v>
      </c>
      <c r="F126" t="s">
        <v>189</v>
      </c>
      <c r="G126" s="15">
        <v>1.9E-3</v>
      </c>
    </row>
    <row r="127" spans="1:7" x14ac:dyDescent="0.15">
      <c r="A127" s="86">
        <v>46076</v>
      </c>
      <c r="B127" s="18">
        <v>523000</v>
      </c>
      <c r="C127" s="14">
        <v>524000</v>
      </c>
      <c r="D127" s="14">
        <v>541000</v>
      </c>
      <c r="E127" s="14">
        <v>517000</v>
      </c>
      <c r="F127" t="s">
        <v>190</v>
      </c>
      <c r="G127" s="15">
        <v>2.75E-2</v>
      </c>
    </row>
    <row r="128" spans="1:7" x14ac:dyDescent="0.15">
      <c r="A128" s="86">
        <v>46073</v>
      </c>
      <c r="B128" s="18">
        <v>509000</v>
      </c>
      <c r="C128" s="14">
        <v>516000</v>
      </c>
      <c r="D128" s="14">
        <v>516000</v>
      </c>
      <c r="E128" s="14">
        <v>504000</v>
      </c>
      <c r="F128" t="s">
        <v>111</v>
      </c>
      <c r="G128" s="15">
        <v>-7.7999999999999996E-3</v>
      </c>
    </row>
    <row r="129" spans="1:7" x14ac:dyDescent="0.15">
      <c r="A129" s="86">
        <v>46072</v>
      </c>
      <c r="B129" s="18">
        <v>513000</v>
      </c>
      <c r="C129" s="14">
        <v>504000</v>
      </c>
      <c r="D129" s="14">
        <v>523000</v>
      </c>
      <c r="E129" s="14">
        <v>495500</v>
      </c>
      <c r="F129" t="s">
        <v>181</v>
      </c>
      <c r="G129" s="15">
        <v>2.81E-2</v>
      </c>
    </row>
    <row r="130" spans="1:7" x14ac:dyDescent="0.15">
      <c r="A130" s="86">
        <v>46066</v>
      </c>
      <c r="B130" s="18">
        <v>499000</v>
      </c>
      <c r="C130" s="14">
        <v>499500</v>
      </c>
      <c r="D130" s="14">
        <v>509500</v>
      </c>
      <c r="E130" s="14">
        <v>497500</v>
      </c>
      <c r="F130" t="s">
        <v>150</v>
      </c>
      <c r="G130" s="15">
        <v>-1.38E-2</v>
      </c>
    </row>
    <row r="131" spans="1:7" x14ac:dyDescent="0.15">
      <c r="A131" s="86">
        <v>46065</v>
      </c>
      <c r="B131" s="18">
        <v>506000</v>
      </c>
      <c r="C131" s="14">
        <v>512000</v>
      </c>
      <c r="D131" s="14">
        <v>512000</v>
      </c>
      <c r="E131" s="14">
        <v>498000</v>
      </c>
      <c r="F131" t="s">
        <v>191</v>
      </c>
      <c r="G131" s="15">
        <v>-5.8999999999999999E-3</v>
      </c>
    </row>
    <row r="132" spans="1:7" x14ac:dyDescent="0.15">
      <c r="A132" s="86">
        <v>46064</v>
      </c>
      <c r="B132" s="18">
        <v>509000</v>
      </c>
      <c r="C132" s="14">
        <v>480500</v>
      </c>
      <c r="D132" s="14">
        <v>515000</v>
      </c>
      <c r="E132" s="14">
        <v>477000</v>
      </c>
      <c r="F132" t="s">
        <v>192</v>
      </c>
      <c r="G132" s="15">
        <v>5.9299999999999999E-2</v>
      </c>
    </row>
    <row r="133" spans="1:7" x14ac:dyDescent="0.15">
      <c r="A133" s="86">
        <v>46063</v>
      </c>
      <c r="B133" s="18">
        <v>480500</v>
      </c>
      <c r="C133" s="14">
        <v>499000</v>
      </c>
      <c r="D133" s="14">
        <v>505000</v>
      </c>
      <c r="E133" s="14">
        <v>479000</v>
      </c>
      <c r="F133" t="s">
        <v>193</v>
      </c>
      <c r="G133" s="15">
        <v>5.1999999999999998E-3</v>
      </c>
    </row>
    <row r="134" spans="1:7" x14ac:dyDescent="0.15">
      <c r="A134" s="86">
        <v>46062</v>
      </c>
      <c r="B134" s="18">
        <v>478000</v>
      </c>
      <c r="C134" s="14">
        <v>484000</v>
      </c>
      <c r="D134" s="14">
        <v>485000</v>
      </c>
      <c r="E134" s="14">
        <v>473000</v>
      </c>
      <c r="F134" t="s">
        <v>160</v>
      </c>
      <c r="G134" s="15">
        <v>2.2499999999999999E-2</v>
      </c>
    </row>
    <row r="135" spans="1:7" x14ac:dyDescent="0.15">
      <c r="A135" s="86">
        <v>46059</v>
      </c>
      <c r="B135" s="18">
        <v>467500</v>
      </c>
      <c r="C135" s="14">
        <v>469500</v>
      </c>
      <c r="D135" s="14">
        <v>473000</v>
      </c>
      <c r="E135" s="14">
        <v>452000</v>
      </c>
      <c r="F135" t="s">
        <v>194</v>
      </c>
      <c r="G135" s="15">
        <v>-4.2999999999999997E-2</v>
      </c>
    </row>
    <row r="136" spans="1:7" x14ac:dyDescent="0.15">
      <c r="A136" s="86">
        <v>46058</v>
      </c>
      <c r="B136" s="18">
        <v>488500</v>
      </c>
      <c r="C136" s="14">
        <v>492500</v>
      </c>
      <c r="D136" s="14">
        <v>508000</v>
      </c>
      <c r="E136" s="14">
        <v>483500</v>
      </c>
      <c r="F136" t="s">
        <v>195</v>
      </c>
      <c r="G136" s="15">
        <v>-3.0800000000000001E-2</v>
      </c>
    </row>
    <row r="137" spans="1:7" x14ac:dyDescent="0.15">
      <c r="A137" s="86">
        <v>46057</v>
      </c>
      <c r="B137" s="18">
        <v>504000</v>
      </c>
      <c r="C137" s="14">
        <v>502000</v>
      </c>
      <c r="D137" s="14">
        <v>518000</v>
      </c>
      <c r="E137" s="14">
        <v>497500</v>
      </c>
      <c r="F137" t="s">
        <v>196</v>
      </c>
      <c r="G137" s="15">
        <v>2.5399999999999999E-2</v>
      </c>
    </row>
    <row r="138" spans="1:7" x14ac:dyDescent="0.15">
      <c r="A138" s="86">
        <v>46056</v>
      </c>
      <c r="B138" s="18">
        <v>491500</v>
      </c>
      <c r="C138" s="14">
        <v>487000</v>
      </c>
      <c r="D138" s="14">
        <v>495000</v>
      </c>
      <c r="E138" s="14">
        <v>473000</v>
      </c>
      <c r="F138" t="s">
        <v>197</v>
      </c>
      <c r="G138" s="15">
        <v>2.8199999999999999E-2</v>
      </c>
    </row>
    <row r="139" spans="1:7" x14ac:dyDescent="0.15">
      <c r="A139" s="86">
        <v>46055</v>
      </c>
      <c r="B139" s="18">
        <v>478000</v>
      </c>
      <c r="C139" s="14">
        <v>486000</v>
      </c>
      <c r="D139" s="14">
        <v>507000</v>
      </c>
      <c r="E139" s="14">
        <v>473000</v>
      </c>
      <c r="F139" t="s">
        <v>198</v>
      </c>
      <c r="G139" s="15">
        <v>-4.3999999999999997E-2</v>
      </c>
    </row>
    <row r="140" spans="1:7" x14ac:dyDescent="0.15">
      <c r="A140" s="86">
        <v>46052</v>
      </c>
      <c r="B140" s="18">
        <v>500000</v>
      </c>
      <c r="C140" s="14">
        <v>516000</v>
      </c>
      <c r="D140" s="14">
        <v>517000</v>
      </c>
      <c r="E140" s="14">
        <v>500000</v>
      </c>
      <c r="F140" t="s">
        <v>199</v>
      </c>
      <c r="G140" s="15">
        <v>-5.2999999999999999E-2</v>
      </c>
    </row>
    <row r="141" spans="1:7" x14ac:dyDescent="0.15">
      <c r="A141" s="86">
        <v>46051</v>
      </c>
      <c r="B141" s="18">
        <v>528000</v>
      </c>
      <c r="C141" s="14">
        <v>501000</v>
      </c>
      <c r="D141" s="14">
        <v>529000</v>
      </c>
      <c r="E141" s="14">
        <v>494000</v>
      </c>
      <c r="F141" t="s">
        <v>200</v>
      </c>
      <c r="G141" s="15">
        <v>7.2099999999999997E-2</v>
      </c>
    </row>
    <row r="142" spans="1:7" x14ac:dyDescent="0.15">
      <c r="A142" s="86">
        <v>46050</v>
      </c>
      <c r="B142" s="18">
        <v>492500</v>
      </c>
      <c r="C142" s="14">
        <v>505000</v>
      </c>
      <c r="D142" s="14">
        <v>506000</v>
      </c>
      <c r="E142" s="14">
        <v>490500</v>
      </c>
      <c r="F142" t="s">
        <v>201</v>
      </c>
      <c r="G142" s="15">
        <v>8.2000000000000007E-3</v>
      </c>
    </row>
    <row r="143" spans="1:7" x14ac:dyDescent="0.15">
      <c r="A143" s="86">
        <v>46049</v>
      </c>
      <c r="B143" s="18">
        <v>488500</v>
      </c>
      <c r="C143" s="14">
        <v>473000</v>
      </c>
      <c r="D143" s="14">
        <v>499000</v>
      </c>
      <c r="E143" s="14">
        <v>469000</v>
      </c>
      <c r="F143" t="s">
        <v>202</v>
      </c>
      <c r="G143" s="15">
        <v>-8.0999999999999996E-3</v>
      </c>
    </row>
    <row r="144" spans="1:7" x14ac:dyDescent="0.15">
      <c r="A144" s="86">
        <v>46048</v>
      </c>
      <c r="B144" s="18">
        <v>492500</v>
      </c>
      <c r="C144" s="14">
        <v>499000</v>
      </c>
      <c r="D144" s="14">
        <v>515000</v>
      </c>
      <c r="E144" s="14">
        <v>490000</v>
      </c>
      <c r="F144" t="s">
        <v>203</v>
      </c>
      <c r="G144" s="15">
        <v>-3.4299999999999997E-2</v>
      </c>
    </row>
    <row r="145" spans="1:7" x14ac:dyDescent="0.15">
      <c r="A145" s="86">
        <v>46045</v>
      </c>
      <c r="B145" s="18">
        <v>510000</v>
      </c>
      <c r="C145" s="14">
        <v>530000</v>
      </c>
      <c r="D145" s="14">
        <v>543000</v>
      </c>
      <c r="E145" s="14">
        <v>500000</v>
      </c>
      <c r="F145" t="s">
        <v>204</v>
      </c>
      <c r="G145" s="15">
        <v>-3.5900000000000001E-2</v>
      </c>
    </row>
    <row r="146" spans="1:7" x14ac:dyDescent="0.15">
      <c r="A146" s="86">
        <v>46044</v>
      </c>
      <c r="B146" s="18">
        <v>529000</v>
      </c>
      <c r="C146" s="14">
        <v>586000</v>
      </c>
      <c r="D146" s="14">
        <v>590000</v>
      </c>
      <c r="E146" s="14">
        <v>525000</v>
      </c>
      <c r="F146" t="s">
        <v>205</v>
      </c>
      <c r="G146" s="15">
        <v>-3.6400000000000002E-2</v>
      </c>
    </row>
    <row r="147" spans="1:7" x14ac:dyDescent="0.15">
      <c r="A147" s="86">
        <v>46043</v>
      </c>
      <c r="B147" s="18">
        <v>549000</v>
      </c>
      <c r="C147" s="14">
        <v>468000</v>
      </c>
      <c r="D147" s="14">
        <v>551000</v>
      </c>
      <c r="E147" s="14">
        <v>467500</v>
      </c>
      <c r="F147" t="s">
        <v>206</v>
      </c>
      <c r="G147" s="15">
        <v>0.14610000000000001</v>
      </c>
    </row>
    <row r="148" spans="1:7" x14ac:dyDescent="0.15">
      <c r="A148" s="86">
        <v>46042</v>
      </c>
      <c r="B148" s="18">
        <v>479000</v>
      </c>
      <c r="C148" s="14">
        <v>494000</v>
      </c>
      <c r="D148" s="14">
        <v>496500</v>
      </c>
      <c r="E148" s="14">
        <v>460500</v>
      </c>
      <c r="F148" t="s">
        <v>207</v>
      </c>
      <c r="G148" s="15">
        <v>-2.0999999999999999E-3</v>
      </c>
    </row>
    <row r="149" spans="1:7" x14ac:dyDescent="0.15">
      <c r="A149" s="86">
        <v>46041</v>
      </c>
      <c r="B149" s="18">
        <v>480000</v>
      </c>
      <c r="C149" s="14">
        <v>420000</v>
      </c>
      <c r="D149" s="14">
        <v>487000</v>
      </c>
      <c r="E149" s="14">
        <v>419500</v>
      </c>
      <c r="F149" t="s">
        <v>208</v>
      </c>
      <c r="G149" s="15">
        <v>0.16220000000000001</v>
      </c>
    </row>
    <row r="150" spans="1:7" x14ac:dyDescent="0.15">
      <c r="A150" s="86">
        <v>46038</v>
      </c>
      <c r="B150" s="18">
        <v>413000</v>
      </c>
      <c r="C150" s="14">
        <v>426500</v>
      </c>
      <c r="D150" s="14">
        <v>426500</v>
      </c>
      <c r="E150" s="14">
        <v>408000</v>
      </c>
      <c r="F150" t="s">
        <v>209</v>
      </c>
      <c r="G150" s="15">
        <v>-2.1299999999999999E-2</v>
      </c>
    </row>
    <row r="151" spans="1:7" x14ac:dyDescent="0.15">
      <c r="A151" s="86">
        <v>46037</v>
      </c>
      <c r="B151" s="18">
        <v>422000</v>
      </c>
      <c r="C151" s="14">
        <v>409500</v>
      </c>
      <c r="D151" s="14">
        <v>425000</v>
      </c>
      <c r="E151" s="14">
        <v>405000</v>
      </c>
      <c r="F151" t="s">
        <v>210</v>
      </c>
      <c r="G151" s="15">
        <v>2.5499999999999998E-2</v>
      </c>
    </row>
    <row r="152" spans="1:7" x14ac:dyDescent="0.15">
      <c r="A152" s="86">
        <v>46036</v>
      </c>
      <c r="B152" s="18">
        <v>411500</v>
      </c>
      <c r="C152" s="14">
        <v>406500</v>
      </c>
      <c r="D152" s="14">
        <v>413500</v>
      </c>
      <c r="E152" s="14">
        <v>398000</v>
      </c>
      <c r="F152" t="s">
        <v>211</v>
      </c>
      <c r="G152" s="15">
        <v>1.35E-2</v>
      </c>
    </row>
    <row r="153" spans="1:7" x14ac:dyDescent="0.15">
      <c r="A153" s="86">
        <v>46035</v>
      </c>
      <c r="B153" s="18">
        <v>406000</v>
      </c>
      <c r="C153" s="14">
        <v>380500</v>
      </c>
      <c r="D153" s="14">
        <v>413500</v>
      </c>
      <c r="E153" s="14">
        <v>378000</v>
      </c>
      <c r="F153" t="s">
        <v>212</v>
      </c>
      <c r="G153" s="15">
        <v>0.10630000000000001</v>
      </c>
    </row>
    <row r="154" spans="1:7" x14ac:dyDescent="0.15">
      <c r="A154" s="86">
        <v>46034</v>
      </c>
      <c r="B154" s="18">
        <v>367000</v>
      </c>
      <c r="C154" s="14">
        <v>383000</v>
      </c>
      <c r="D154" s="14">
        <v>383500</v>
      </c>
      <c r="E154" s="14">
        <v>358500</v>
      </c>
      <c r="F154" t="s">
        <v>199</v>
      </c>
      <c r="G154" s="15">
        <v>2.7000000000000001E-3</v>
      </c>
    </row>
    <row r="155" spans="1:7" x14ac:dyDescent="0.15">
      <c r="A155" s="86">
        <v>46031</v>
      </c>
      <c r="B155" s="18">
        <v>366000</v>
      </c>
      <c r="C155" s="14">
        <v>349000</v>
      </c>
      <c r="D155" s="14">
        <v>369000</v>
      </c>
      <c r="E155" s="14">
        <v>340000</v>
      </c>
      <c r="F155" t="s">
        <v>213</v>
      </c>
      <c r="G155" s="15">
        <v>7.4899999999999994E-2</v>
      </c>
    </row>
    <row r="156" spans="1:7" x14ac:dyDescent="0.15">
      <c r="A156" s="86">
        <v>46030</v>
      </c>
      <c r="B156" s="18">
        <v>340500</v>
      </c>
      <c r="C156" s="14">
        <v>361000</v>
      </c>
      <c r="D156" s="14">
        <v>361000</v>
      </c>
      <c r="E156" s="14">
        <v>338000</v>
      </c>
      <c r="F156" t="s">
        <v>214</v>
      </c>
      <c r="G156" s="15">
        <v>-2.8500000000000001E-2</v>
      </c>
    </row>
    <row r="157" spans="1:7" x14ac:dyDescent="0.15">
      <c r="A157" s="86">
        <v>46029</v>
      </c>
      <c r="B157" s="18">
        <v>350500</v>
      </c>
      <c r="C157" s="14">
        <v>314000</v>
      </c>
      <c r="D157" s="14">
        <v>362000</v>
      </c>
      <c r="E157" s="14">
        <v>313000</v>
      </c>
      <c r="F157" t="s">
        <v>215</v>
      </c>
      <c r="G157" s="15">
        <v>0.13800000000000001</v>
      </c>
    </row>
    <row r="158" spans="1:7" x14ac:dyDescent="0.15">
      <c r="A158" s="86">
        <v>46028</v>
      </c>
      <c r="B158" s="18">
        <v>308000</v>
      </c>
      <c r="C158" s="14">
        <v>318000</v>
      </c>
      <c r="D158" s="14">
        <v>330000</v>
      </c>
      <c r="E158" s="14">
        <v>304000</v>
      </c>
      <c r="F158" t="s">
        <v>216</v>
      </c>
      <c r="G158" s="15">
        <v>1.15E-2</v>
      </c>
    </row>
    <row r="159" spans="1:7" x14ac:dyDescent="0.15">
      <c r="A159" s="86">
        <v>46027</v>
      </c>
      <c r="B159" s="18">
        <v>304500</v>
      </c>
      <c r="C159" s="14">
        <v>302500</v>
      </c>
      <c r="D159" s="14">
        <v>310000</v>
      </c>
      <c r="E159" s="14">
        <v>302000</v>
      </c>
      <c r="F159" t="s">
        <v>122</v>
      </c>
      <c r="G159" s="15">
        <v>2.01E-2</v>
      </c>
    </row>
    <row r="160" spans="1:7" x14ac:dyDescent="0.15">
      <c r="A160" s="86">
        <v>46024</v>
      </c>
      <c r="B160" s="18">
        <v>298500</v>
      </c>
      <c r="C160" s="14">
        <v>299500</v>
      </c>
      <c r="D160" s="14">
        <v>302000</v>
      </c>
      <c r="E160" s="14">
        <v>293000</v>
      </c>
      <c r="F160" t="s">
        <v>217</v>
      </c>
      <c r="G160" s="15">
        <v>6.7000000000000002E-3</v>
      </c>
    </row>
    <row r="161" spans="1:7" x14ac:dyDescent="0.15">
      <c r="A161" s="86">
        <v>46021</v>
      </c>
      <c r="B161" s="18">
        <v>296500</v>
      </c>
      <c r="C161" s="14">
        <v>291000</v>
      </c>
      <c r="D161" s="14">
        <v>297500</v>
      </c>
      <c r="E161" s="14">
        <v>289500</v>
      </c>
      <c r="F161" t="s">
        <v>218</v>
      </c>
      <c r="G161" s="15">
        <v>1.0200000000000001E-2</v>
      </c>
    </row>
    <row r="162" spans="1:7" x14ac:dyDescent="0.15">
      <c r="A162" s="86">
        <v>46020</v>
      </c>
      <c r="B162" s="18">
        <v>293500</v>
      </c>
      <c r="C162" s="14">
        <v>284500</v>
      </c>
      <c r="D162" s="14">
        <v>294000</v>
      </c>
      <c r="E162" s="14">
        <v>282500</v>
      </c>
      <c r="F162" t="s">
        <v>219</v>
      </c>
      <c r="G162" s="15">
        <v>2.6200000000000001E-2</v>
      </c>
    </row>
    <row r="163" spans="1:7" x14ac:dyDescent="0.15">
      <c r="A163" s="86">
        <v>46017</v>
      </c>
      <c r="B163" s="18">
        <v>286000</v>
      </c>
      <c r="C163" s="14">
        <v>292000</v>
      </c>
      <c r="D163" s="14">
        <v>292000</v>
      </c>
      <c r="E163" s="14">
        <v>285000</v>
      </c>
      <c r="F163" t="s">
        <v>220</v>
      </c>
      <c r="G163" s="15">
        <v>-1.04E-2</v>
      </c>
    </row>
    <row r="164" spans="1:7" x14ac:dyDescent="0.15">
      <c r="A164" s="86">
        <v>46015</v>
      </c>
      <c r="B164" s="18">
        <v>289000</v>
      </c>
      <c r="C164" s="14">
        <v>289000</v>
      </c>
      <c r="D164" s="14">
        <v>300000</v>
      </c>
      <c r="E164" s="14">
        <v>287000</v>
      </c>
      <c r="F164" t="s">
        <v>221</v>
      </c>
      <c r="G164" s="15">
        <v>7.0000000000000001E-3</v>
      </c>
    </row>
    <row r="165" spans="1:7" x14ac:dyDescent="0.15">
      <c r="A165" s="86">
        <v>46014</v>
      </c>
      <c r="B165" s="18">
        <v>287000</v>
      </c>
      <c r="C165" s="14">
        <v>290500</v>
      </c>
      <c r="D165" s="14">
        <v>292500</v>
      </c>
      <c r="E165" s="14">
        <v>285500</v>
      </c>
      <c r="F165" t="s">
        <v>222</v>
      </c>
      <c r="G165" s="15">
        <v>-6.8999999999999999E-3</v>
      </c>
    </row>
    <row r="166" spans="1:7" x14ac:dyDescent="0.15">
      <c r="A166" s="86">
        <v>46013</v>
      </c>
      <c r="B166" s="18">
        <v>289000</v>
      </c>
      <c r="C166" s="14">
        <v>290500</v>
      </c>
      <c r="D166" s="14">
        <v>290500</v>
      </c>
      <c r="E166" s="14">
        <v>285000</v>
      </c>
      <c r="F166" t="s">
        <v>166</v>
      </c>
      <c r="G166" s="15">
        <v>1.6999999999999999E-3</v>
      </c>
    </row>
    <row r="167" spans="1:7" x14ac:dyDescent="0.15">
      <c r="A167" s="86">
        <v>46010</v>
      </c>
      <c r="B167" s="18">
        <v>288500</v>
      </c>
      <c r="C167" s="14">
        <v>285500</v>
      </c>
      <c r="D167" s="14">
        <v>288500</v>
      </c>
      <c r="E167" s="14">
        <v>278500</v>
      </c>
      <c r="F167" t="s">
        <v>223</v>
      </c>
      <c r="G167" s="15">
        <v>2.12E-2</v>
      </c>
    </row>
    <row r="168" spans="1:7" x14ac:dyDescent="0.15">
      <c r="A168" s="86">
        <v>46009</v>
      </c>
      <c r="B168" s="18">
        <v>282500</v>
      </c>
      <c r="C168" s="14">
        <v>280500</v>
      </c>
      <c r="D168" s="14">
        <v>285000</v>
      </c>
      <c r="E168" s="14">
        <v>280000</v>
      </c>
      <c r="F168" t="s">
        <v>224</v>
      </c>
      <c r="G168" s="15">
        <v>-1.2200000000000001E-2</v>
      </c>
    </row>
    <row r="169" spans="1:7" x14ac:dyDescent="0.15">
      <c r="A169" s="86">
        <v>46008</v>
      </c>
      <c r="B169" s="18">
        <v>286000</v>
      </c>
      <c r="C169" s="14">
        <v>288000</v>
      </c>
      <c r="D169" s="14">
        <v>288500</v>
      </c>
      <c r="E169" s="14">
        <v>284000</v>
      </c>
      <c r="F169" t="s">
        <v>225</v>
      </c>
      <c r="G169" s="15">
        <v>0</v>
      </c>
    </row>
    <row r="170" spans="1:7" x14ac:dyDescent="0.15">
      <c r="A170" s="86">
        <v>46007</v>
      </c>
      <c r="B170" s="18">
        <v>286000</v>
      </c>
      <c r="C170" s="14">
        <v>296500</v>
      </c>
      <c r="D170" s="14">
        <v>301500</v>
      </c>
      <c r="E170" s="14">
        <v>284500</v>
      </c>
      <c r="F170" t="s">
        <v>226</v>
      </c>
      <c r="G170" s="15">
        <v>-2.5600000000000001E-2</v>
      </c>
    </row>
    <row r="171" spans="1:7" x14ac:dyDescent="0.15">
      <c r="A171" s="86">
        <v>46006</v>
      </c>
      <c r="B171" s="18">
        <v>293500</v>
      </c>
      <c r="C171" s="14">
        <v>296500</v>
      </c>
      <c r="D171" s="14">
        <v>297500</v>
      </c>
      <c r="E171" s="14">
        <v>293500</v>
      </c>
      <c r="F171" t="s">
        <v>227</v>
      </c>
      <c r="G171" s="15">
        <v>-2.6499999999999999E-2</v>
      </c>
    </row>
    <row r="172" spans="1:7" x14ac:dyDescent="0.15">
      <c r="A172" s="86">
        <v>46003</v>
      </c>
      <c r="B172" s="18">
        <v>301500</v>
      </c>
      <c r="C172" s="14">
        <v>299000</v>
      </c>
      <c r="D172" s="14">
        <v>303000</v>
      </c>
      <c r="E172" s="14">
        <v>295500</v>
      </c>
      <c r="F172" t="s">
        <v>228</v>
      </c>
      <c r="G172" s="15">
        <v>2.0299999999999999E-2</v>
      </c>
    </row>
    <row r="173" spans="1:7" x14ac:dyDescent="0.15">
      <c r="A173" s="86">
        <v>46002</v>
      </c>
      <c r="B173" s="18">
        <v>295500</v>
      </c>
      <c r="C173" s="14">
        <v>304000</v>
      </c>
      <c r="D173" s="14">
        <v>306500</v>
      </c>
      <c r="E173" s="14">
        <v>295500</v>
      </c>
      <c r="F173" t="s">
        <v>229</v>
      </c>
      <c r="G173" s="15">
        <v>-2.3099999999999999E-2</v>
      </c>
    </row>
    <row r="174" spans="1:7" x14ac:dyDescent="0.15">
      <c r="A174" s="86">
        <v>46001</v>
      </c>
      <c r="B174" s="18">
        <v>302500</v>
      </c>
      <c r="C174" s="14">
        <v>304500</v>
      </c>
      <c r="D174" s="14">
        <v>306000</v>
      </c>
      <c r="E174" s="14">
        <v>297500</v>
      </c>
      <c r="F174" t="s">
        <v>230</v>
      </c>
      <c r="G174" s="15">
        <v>-1.47E-2</v>
      </c>
    </row>
    <row r="175" spans="1:7" x14ac:dyDescent="0.15">
      <c r="A175" s="86">
        <v>46000</v>
      </c>
      <c r="B175" s="18">
        <v>307000</v>
      </c>
      <c r="C175" s="14">
        <v>308000</v>
      </c>
      <c r="D175" s="14">
        <v>312000</v>
      </c>
      <c r="E175" s="14">
        <v>301500</v>
      </c>
      <c r="F175" t="s">
        <v>154</v>
      </c>
      <c r="G175" s="15">
        <v>-2.69E-2</v>
      </c>
    </row>
    <row r="176" spans="1:7" x14ac:dyDescent="0.15">
      <c r="A176" s="86">
        <v>45999</v>
      </c>
      <c r="B176" s="18">
        <v>315500</v>
      </c>
      <c r="C176" s="14">
        <v>321000</v>
      </c>
      <c r="D176" s="14">
        <v>321000</v>
      </c>
      <c r="E176" s="14">
        <v>308500</v>
      </c>
      <c r="F176" t="s">
        <v>117</v>
      </c>
      <c r="G176" s="15">
        <v>1.6000000000000001E-3</v>
      </c>
    </row>
    <row r="177" spans="1:7" x14ac:dyDescent="0.15">
      <c r="A177" s="86">
        <v>45996</v>
      </c>
      <c r="B177" s="18">
        <v>315000</v>
      </c>
      <c r="C177" s="14">
        <v>282000</v>
      </c>
      <c r="D177" s="14">
        <v>316500</v>
      </c>
      <c r="E177" s="14">
        <v>280000</v>
      </c>
      <c r="F177" t="s">
        <v>231</v>
      </c>
      <c r="G177" s="15">
        <v>0.1111</v>
      </c>
    </row>
    <row r="178" spans="1:7" x14ac:dyDescent="0.15">
      <c r="A178" s="86">
        <v>45995</v>
      </c>
      <c r="B178" s="18">
        <v>283500</v>
      </c>
      <c r="C178" s="14">
        <v>273000</v>
      </c>
      <c r="D178" s="14">
        <v>284500</v>
      </c>
      <c r="E178" s="14">
        <v>270000</v>
      </c>
      <c r="F178" t="s">
        <v>232</v>
      </c>
      <c r="G178" s="15">
        <v>6.3799999999999996E-2</v>
      </c>
    </row>
    <row r="179" spans="1:7" x14ac:dyDescent="0.15">
      <c r="A179" s="86">
        <v>45994</v>
      </c>
      <c r="B179" s="18">
        <v>266500</v>
      </c>
      <c r="C179" s="14">
        <v>266500</v>
      </c>
      <c r="D179" s="14">
        <v>267500</v>
      </c>
      <c r="E179" s="14">
        <v>263000</v>
      </c>
      <c r="F179" t="s">
        <v>233</v>
      </c>
      <c r="G179" s="15">
        <v>1.9E-3</v>
      </c>
    </row>
    <row r="180" spans="1:7" x14ac:dyDescent="0.15">
      <c r="A180" s="86">
        <v>45993</v>
      </c>
      <c r="B180" s="18">
        <v>266000</v>
      </c>
      <c r="C180" s="14">
        <v>257500</v>
      </c>
      <c r="D180" s="14">
        <v>267500</v>
      </c>
      <c r="E180" s="14">
        <v>257000</v>
      </c>
      <c r="F180" t="s">
        <v>129</v>
      </c>
      <c r="G180" s="15">
        <v>4.5199999999999997E-2</v>
      </c>
    </row>
    <row r="181" spans="1:7" x14ac:dyDescent="0.15">
      <c r="A181" s="86">
        <v>45992</v>
      </c>
      <c r="B181" s="18">
        <v>254500</v>
      </c>
      <c r="C181" s="14">
        <v>261000</v>
      </c>
      <c r="D181" s="14">
        <v>261500</v>
      </c>
      <c r="E181" s="14">
        <v>253500</v>
      </c>
      <c r="F181" t="s">
        <v>234</v>
      </c>
      <c r="G181" s="15">
        <v>-2.6800000000000001E-2</v>
      </c>
    </row>
    <row r="182" spans="1:7" x14ac:dyDescent="0.15">
      <c r="A182" s="86">
        <v>45989</v>
      </c>
      <c r="B182" s="18">
        <v>261500</v>
      </c>
      <c r="C182" s="14">
        <v>261500</v>
      </c>
      <c r="D182" s="14">
        <v>265500</v>
      </c>
      <c r="E182" s="14">
        <v>259000</v>
      </c>
      <c r="F182" t="s">
        <v>235</v>
      </c>
      <c r="G182" s="15">
        <v>0</v>
      </c>
    </row>
    <row r="183" spans="1:7" x14ac:dyDescent="0.15">
      <c r="A183" s="86">
        <v>45988</v>
      </c>
      <c r="B183" s="18">
        <v>261500</v>
      </c>
      <c r="C183" s="14">
        <v>261500</v>
      </c>
      <c r="D183" s="14">
        <v>262500</v>
      </c>
      <c r="E183" s="14">
        <v>259500</v>
      </c>
      <c r="F183" t="s">
        <v>236</v>
      </c>
      <c r="G183" s="15">
        <v>0</v>
      </c>
    </row>
    <row r="184" spans="1:7" x14ac:dyDescent="0.15">
      <c r="A184" s="86">
        <v>45987</v>
      </c>
      <c r="B184" s="18">
        <v>261500</v>
      </c>
      <c r="C184" s="14">
        <v>260500</v>
      </c>
      <c r="D184" s="14">
        <v>262000</v>
      </c>
      <c r="E184" s="14">
        <v>259500</v>
      </c>
      <c r="F184" t="s">
        <v>237</v>
      </c>
      <c r="G184" s="15">
        <v>1.55E-2</v>
      </c>
    </row>
    <row r="185" spans="1:7" x14ac:dyDescent="0.15">
      <c r="A185" s="86">
        <v>45986</v>
      </c>
      <c r="B185" s="18">
        <v>257500</v>
      </c>
      <c r="C185" s="14">
        <v>261000</v>
      </c>
      <c r="D185" s="14">
        <v>262000</v>
      </c>
      <c r="E185" s="14">
        <v>256500</v>
      </c>
      <c r="F185" t="s">
        <v>238</v>
      </c>
      <c r="G185" s="15">
        <v>0</v>
      </c>
    </row>
    <row r="186" spans="1:7" x14ac:dyDescent="0.15">
      <c r="A186" s="86">
        <v>45985</v>
      </c>
      <c r="B186" s="18">
        <v>257500</v>
      </c>
      <c r="C186" s="14">
        <v>262000</v>
      </c>
      <c r="D186" s="14">
        <v>262000</v>
      </c>
      <c r="E186" s="14">
        <v>257500</v>
      </c>
      <c r="F186" t="s">
        <v>239</v>
      </c>
      <c r="G186" s="15">
        <v>-7.7000000000000002E-3</v>
      </c>
    </row>
    <row r="187" spans="1:7" x14ac:dyDescent="0.15">
      <c r="A187" s="86">
        <v>45982</v>
      </c>
      <c r="B187" s="18">
        <v>259500</v>
      </c>
      <c r="C187" s="14">
        <v>255000</v>
      </c>
      <c r="D187" s="14">
        <v>261000</v>
      </c>
      <c r="E187" s="14">
        <v>254500</v>
      </c>
      <c r="F187" t="s">
        <v>240</v>
      </c>
      <c r="G187" s="15">
        <v>-9.4999999999999998E-3</v>
      </c>
    </row>
    <row r="188" spans="1:7" x14ac:dyDescent="0.15">
      <c r="A188" s="86">
        <v>45981</v>
      </c>
      <c r="B188" s="18">
        <v>262000</v>
      </c>
      <c r="C188" s="14">
        <v>267000</v>
      </c>
      <c r="D188" s="14">
        <v>267500</v>
      </c>
      <c r="E188" s="14">
        <v>262000</v>
      </c>
      <c r="F188" t="s">
        <v>241</v>
      </c>
      <c r="G188" s="15">
        <v>-7.6E-3</v>
      </c>
    </row>
    <row r="189" spans="1:7" x14ac:dyDescent="0.15">
      <c r="A189" s="86">
        <v>45980</v>
      </c>
      <c r="B189" s="18">
        <v>264000</v>
      </c>
      <c r="C189" s="14">
        <v>272000</v>
      </c>
      <c r="D189" s="14">
        <v>272000</v>
      </c>
      <c r="E189" s="14">
        <v>261500</v>
      </c>
      <c r="F189" t="s">
        <v>242</v>
      </c>
      <c r="G189" s="15">
        <v>-1.9E-3</v>
      </c>
    </row>
    <row r="190" spans="1:7" x14ac:dyDescent="0.15">
      <c r="A190" s="86">
        <v>45979</v>
      </c>
      <c r="B190" s="18">
        <v>264500</v>
      </c>
      <c r="C190" s="14">
        <v>269000</v>
      </c>
      <c r="D190" s="14">
        <v>271500</v>
      </c>
      <c r="E190" s="14">
        <v>263500</v>
      </c>
      <c r="F190" t="s">
        <v>243</v>
      </c>
      <c r="G190" s="15">
        <v>-2.58E-2</v>
      </c>
    </row>
    <row r="191" spans="1:7" x14ac:dyDescent="0.15">
      <c r="A191" s="86">
        <v>45978</v>
      </c>
      <c r="B191" s="18">
        <v>271500</v>
      </c>
      <c r="C191" s="14">
        <v>275500</v>
      </c>
      <c r="D191" s="14">
        <v>275500</v>
      </c>
      <c r="E191" s="14">
        <v>271500</v>
      </c>
      <c r="F191" t="s">
        <v>244</v>
      </c>
      <c r="G191" s="15">
        <v>-3.7000000000000002E-3</v>
      </c>
    </row>
    <row r="192" spans="1:7" x14ac:dyDescent="0.15">
      <c r="A192" s="86">
        <v>45975</v>
      </c>
      <c r="B192" s="18">
        <v>272500</v>
      </c>
      <c r="C192" s="14">
        <v>272500</v>
      </c>
      <c r="D192" s="14">
        <v>278000</v>
      </c>
      <c r="E192" s="14">
        <v>272000</v>
      </c>
      <c r="F192" t="s">
        <v>245</v>
      </c>
      <c r="G192" s="15">
        <v>-2.1499999999999998E-2</v>
      </c>
    </row>
    <row r="193" spans="1:7" x14ac:dyDescent="0.15">
      <c r="A193" s="86">
        <v>45974</v>
      </c>
      <c r="B193" s="18">
        <v>278500</v>
      </c>
      <c r="C193" s="14">
        <v>273000</v>
      </c>
      <c r="D193" s="14">
        <v>279000</v>
      </c>
      <c r="E193" s="14">
        <v>272500</v>
      </c>
      <c r="F193" t="s">
        <v>246</v>
      </c>
      <c r="G193" s="15">
        <v>1.09E-2</v>
      </c>
    </row>
    <row r="194" spans="1:7" x14ac:dyDescent="0.15">
      <c r="A194" s="86">
        <v>45973</v>
      </c>
      <c r="B194" s="18">
        <v>275500</v>
      </c>
      <c r="C194" s="14">
        <v>271500</v>
      </c>
      <c r="D194" s="14">
        <v>278500</v>
      </c>
      <c r="E194" s="14">
        <v>269500</v>
      </c>
      <c r="F194" t="s">
        <v>247</v>
      </c>
      <c r="G194" s="15">
        <v>2.4199999999999999E-2</v>
      </c>
    </row>
    <row r="195" spans="1:7" x14ac:dyDescent="0.15">
      <c r="A195" s="86">
        <v>45972</v>
      </c>
      <c r="B195" s="18">
        <v>269000</v>
      </c>
      <c r="C195" s="14">
        <v>272500</v>
      </c>
      <c r="D195" s="14">
        <v>274000</v>
      </c>
      <c r="E195" s="14">
        <v>267500</v>
      </c>
      <c r="F195" t="s">
        <v>248</v>
      </c>
      <c r="G195" s="15">
        <v>-5.4999999999999997E-3</v>
      </c>
    </row>
    <row r="196" spans="1:7" x14ac:dyDescent="0.15">
      <c r="A196" s="86">
        <v>45971</v>
      </c>
      <c r="B196" s="18">
        <v>270500</v>
      </c>
      <c r="C196" s="14">
        <v>266500</v>
      </c>
      <c r="D196" s="14">
        <v>274000</v>
      </c>
      <c r="E196" s="14">
        <v>265000</v>
      </c>
      <c r="F196" t="s">
        <v>249</v>
      </c>
      <c r="G196" s="15">
        <v>2.46E-2</v>
      </c>
    </row>
    <row r="197" spans="1:7" x14ac:dyDescent="0.15">
      <c r="A197" s="86">
        <v>45968</v>
      </c>
      <c r="B197" s="18">
        <v>264000</v>
      </c>
      <c r="C197" s="14">
        <v>261000</v>
      </c>
      <c r="D197" s="14">
        <v>267000</v>
      </c>
      <c r="E197" s="14">
        <v>259500</v>
      </c>
      <c r="F197" t="s">
        <v>250</v>
      </c>
      <c r="G197" s="15">
        <v>-1.8599999999999998E-2</v>
      </c>
    </row>
    <row r="198" spans="1:7" x14ac:dyDescent="0.15">
      <c r="A198" s="86">
        <v>45967</v>
      </c>
      <c r="B198" s="18">
        <v>269000</v>
      </c>
      <c r="C198" s="14">
        <v>274500</v>
      </c>
      <c r="D198" s="14">
        <v>275000</v>
      </c>
      <c r="E198" s="14">
        <v>264500</v>
      </c>
      <c r="F198" t="s">
        <v>251</v>
      </c>
      <c r="G198" s="15">
        <v>1.9E-3</v>
      </c>
    </row>
    <row r="199" spans="1:7" x14ac:dyDescent="0.15">
      <c r="A199" s="86">
        <v>45966</v>
      </c>
      <c r="B199" s="18">
        <v>268500</v>
      </c>
      <c r="C199" s="14">
        <v>270000</v>
      </c>
      <c r="D199" s="14">
        <v>271500</v>
      </c>
      <c r="E199" s="14">
        <v>259000</v>
      </c>
      <c r="F199" t="s">
        <v>179</v>
      </c>
      <c r="G199" s="15">
        <v>-2.7199999999999998E-2</v>
      </c>
    </row>
    <row r="200" spans="1:7" x14ac:dyDescent="0.15">
      <c r="A200" s="86">
        <v>45965</v>
      </c>
      <c r="B200" s="18">
        <v>276000</v>
      </c>
      <c r="C200" s="14">
        <v>286500</v>
      </c>
      <c r="D200" s="14">
        <v>288500</v>
      </c>
      <c r="E200" s="14">
        <v>276000</v>
      </c>
      <c r="F200" t="s">
        <v>179</v>
      </c>
      <c r="G200" s="15">
        <v>-5.3199999999999997E-2</v>
      </c>
    </row>
    <row r="201" spans="1:7" x14ac:dyDescent="0.15">
      <c r="A201" s="86">
        <v>45964</v>
      </c>
      <c r="B201" s="18">
        <v>291500</v>
      </c>
      <c r="C201" s="14">
        <v>297500</v>
      </c>
      <c r="D201" s="14">
        <v>298000</v>
      </c>
      <c r="E201" s="14">
        <v>288000</v>
      </c>
      <c r="F201" t="s">
        <v>93</v>
      </c>
      <c r="G201" s="15">
        <v>5.1999999999999998E-3</v>
      </c>
    </row>
    <row r="202" spans="1:7" x14ac:dyDescent="0.15">
      <c r="A202" s="86">
        <v>45961</v>
      </c>
      <c r="B202" s="18">
        <v>290000</v>
      </c>
      <c r="C202" s="14">
        <v>273500</v>
      </c>
      <c r="D202" s="14">
        <v>294000</v>
      </c>
      <c r="E202" s="14">
        <v>270500</v>
      </c>
      <c r="F202" t="s">
        <v>252</v>
      </c>
      <c r="G202" s="15">
        <v>9.4299999999999995E-2</v>
      </c>
    </row>
    <row r="203" spans="1:7" x14ac:dyDescent="0.15">
      <c r="A203" s="86">
        <v>45960</v>
      </c>
      <c r="B203" s="18">
        <v>265000</v>
      </c>
      <c r="C203" s="14">
        <v>287500</v>
      </c>
      <c r="D203" s="14">
        <v>289500</v>
      </c>
      <c r="E203" s="14">
        <v>263000</v>
      </c>
      <c r="F203" t="s">
        <v>253</v>
      </c>
      <c r="G203" s="15">
        <v>2.7099999999999999E-2</v>
      </c>
    </row>
    <row r="204" spans="1:7" x14ac:dyDescent="0.15">
      <c r="A204" s="86">
        <v>45959</v>
      </c>
      <c r="B204" s="18">
        <v>258000</v>
      </c>
      <c r="C204" s="14">
        <v>254500</v>
      </c>
      <c r="D204" s="14">
        <v>259500</v>
      </c>
      <c r="E204" s="14">
        <v>251000</v>
      </c>
      <c r="F204" t="s">
        <v>254</v>
      </c>
      <c r="G204" s="15">
        <v>2.9899999999999999E-2</v>
      </c>
    </row>
    <row r="205" spans="1:7" x14ac:dyDescent="0.15">
      <c r="A205" s="86">
        <v>45958</v>
      </c>
      <c r="B205" s="18">
        <v>250500</v>
      </c>
      <c r="C205" s="14">
        <v>253500</v>
      </c>
      <c r="D205" s="14">
        <v>253500</v>
      </c>
      <c r="E205" s="14">
        <v>249000</v>
      </c>
      <c r="F205" t="s">
        <v>255</v>
      </c>
      <c r="G205" s="15">
        <v>-1.5699999999999999E-2</v>
      </c>
    </row>
    <row r="206" spans="1:7" x14ac:dyDescent="0.15">
      <c r="A206" s="86">
        <v>45957</v>
      </c>
      <c r="B206" s="18">
        <v>254500</v>
      </c>
      <c r="C206" s="14">
        <v>253500</v>
      </c>
      <c r="D206" s="14">
        <v>259500</v>
      </c>
      <c r="E206" s="14">
        <v>253000</v>
      </c>
      <c r="F206" t="s">
        <v>256</v>
      </c>
      <c r="G206" s="15">
        <v>7.9000000000000008E-3</v>
      </c>
    </row>
    <row r="207" spans="1:7" x14ac:dyDescent="0.15">
      <c r="A207" s="86">
        <v>45954</v>
      </c>
      <c r="B207" s="18">
        <v>252500</v>
      </c>
      <c r="C207" s="14">
        <v>253500</v>
      </c>
      <c r="D207" s="14">
        <v>254000</v>
      </c>
      <c r="E207" s="14">
        <v>248000</v>
      </c>
      <c r="F207" t="s">
        <v>257</v>
      </c>
      <c r="G207" s="15">
        <v>2E-3</v>
      </c>
    </row>
    <row r="208" spans="1:7" x14ac:dyDescent="0.15">
      <c r="A208" s="86">
        <v>45953</v>
      </c>
      <c r="B208" s="18">
        <v>252000</v>
      </c>
      <c r="C208" s="14">
        <v>256500</v>
      </c>
      <c r="D208" s="14">
        <v>258500</v>
      </c>
      <c r="E208" s="14">
        <v>251000</v>
      </c>
      <c r="F208" t="s">
        <v>258</v>
      </c>
      <c r="G208" s="15">
        <v>-3.4500000000000003E-2</v>
      </c>
    </row>
    <row r="209" spans="1:7" x14ac:dyDescent="0.15">
      <c r="A209" s="86">
        <v>45952</v>
      </c>
      <c r="B209" s="18">
        <v>261000</v>
      </c>
      <c r="C209" s="14">
        <v>265000</v>
      </c>
      <c r="D209" s="14">
        <v>265000</v>
      </c>
      <c r="E209" s="14">
        <v>254500</v>
      </c>
      <c r="F209" t="s">
        <v>129</v>
      </c>
      <c r="G209" s="15">
        <v>1.7500000000000002E-2</v>
      </c>
    </row>
    <row r="210" spans="1:7" x14ac:dyDescent="0.15">
      <c r="A210" s="86">
        <v>45951</v>
      </c>
      <c r="B210" s="18">
        <v>256500</v>
      </c>
      <c r="C210" s="14">
        <v>252000</v>
      </c>
      <c r="D210" s="14">
        <v>267000</v>
      </c>
      <c r="E210" s="14">
        <v>251500</v>
      </c>
      <c r="F210" t="s">
        <v>259</v>
      </c>
      <c r="G210" s="15">
        <v>3.4299999999999997E-2</v>
      </c>
    </row>
    <row r="211" spans="1:7" x14ac:dyDescent="0.15">
      <c r="A211" s="86">
        <v>45950</v>
      </c>
      <c r="B211" s="18">
        <v>248000</v>
      </c>
      <c r="C211" s="14">
        <v>251500</v>
      </c>
      <c r="D211" s="14">
        <v>252000</v>
      </c>
      <c r="E211" s="14">
        <v>241500</v>
      </c>
      <c r="F211" t="s">
        <v>171</v>
      </c>
      <c r="G211" s="15">
        <v>2.06E-2</v>
      </c>
    </row>
    <row r="212" spans="1:7" x14ac:dyDescent="0.15">
      <c r="A212" s="86">
        <v>45947</v>
      </c>
      <c r="B212" s="18">
        <v>243000</v>
      </c>
      <c r="C212" s="14">
        <v>241000</v>
      </c>
      <c r="D212" s="14">
        <v>246000</v>
      </c>
      <c r="E212" s="14">
        <v>239500</v>
      </c>
      <c r="F212" t="s">
        <v>260</v>
      </c>
      <c r="G212" s="15">
        <v>4.1000000000000003E-3</v>
      </c>
    </row>
    <row r="213" spans="1:7" x14ac:dyDescent="0.15">
      <c r="A213" s="86">
        <v>45946</v>
      </c>
      <c r="B213" s="18">
        <v>242000</v>
      </c>
      <c r="C213" s="14">
        <v>237000</v>
      </c>
      <c r="D213" s="14">
        <v>245000</v>
      </c>
      <c r="E213" s="14">
        <v>234000</v>
      </c>
      <c r="F213" t="s">
        <v>261</v>
      </c>
      <c r="G213" s="15">
        <v>8.2799999999999999E-2</v>
      </c>
    </row>
    <row r="214" spans="1:7" x14ac:dyDescent="0.15">
      <c r="A214" s="86">
        <v>45945</v>
      </c>
      <c r="B214" s="18">
        <v>223500</v>
      </c>
      <c r="C214" s="14">
        <v>223000</v>
      </c>
      <c r="D214" s="14">
        <v>224000</v>
      </c>
      <c r="E214" s="14">
        <v>220000</v>
      </c>
      <c r="F214" t="s">
        <v>262</v>
      </c>
      <c r="G214" s="15">
        <v>2.2000000000000001E-3</v>
      </c>
    </row>
    <row r="215" spans="1:7" x14ac:dyDescent="0.15">
      <c r="A215" s="86">
        <v>45944</v>
      </c>
      <c r="B215" s="18">
        <v>223000</v>
      </c>
      <c r="C215" s="14">
        <v>218500</v>
      </c>
      <c r="D215" s="14">
        <v>225000</v>
      </c>
      <c r="E215" s="14">
        <v>218000</v>
      </c>
      <c r="F215" t="s">
        <v>263</v>
      </c>
      <c r="G215" s="15">
        <v>2.06E-2</v>
      </c>
    </row>
    <row r="216" spans="1:7" x14ac:dyDescent="0.15">
      <c r="A216" s="86">
        <v>45943</v>
      </c>
      <c r="B216" s="18">
        <v>218500</v>
      </c>
      <c r="C216" s="14">
        <v>214500</v>
      </c>
      <c r="D216" s="14">
        <v>219500</v>
      </c>
      <c r="E216" s="14">
        <v>214000</v>
      </c>
      <c r="F216" t="s">
        <v>264</v>
      </c>
      <c r="G216" s="15">
        <v>6.8999999999999999E-3</v>
      </c>
    </row>
    <row r="217" spans="1:7" x14ac:dyDescent="0.15">
      <c r="A217" s="86">
        <v>45940</v>
      </c>
      <c r="B217" s="18">
        <v>217000</v>
      </c>
      <c r="C217" s="14">
        <v>219000</v>
      </c>
      <c r="D217" s="14">
        <v>220250</v>
      </c>
      <c r="E217" s="14">
        <v>216500</v>
      </c>
      <c r="F217" t="s">
        <v>265</v>
      </c>
      <c r="G217" s="15">
        <v>-1.3599999999999999E-2</v>
      </c>
    </row>
    <row r="218" spans="1:7" x14ac:dyDescent="0.15">
      <c r="A218" s="86">
        <v>45936</v>
      </c>
      <c r="B218" s="18">
        <v>220000</v>
      </c>
      <c r="C218" s="14">
        <v>216500</v>
      </c>
      <c r="D218" s="14">
        <v>220000</v>
      </c>
      <c r="E218" s="14">
        <v>220000</v>
      </c>
      <c r="F218" t="s">
        <v>173</v>
      </c>
      <c r="G218" s="15">
        <v>0</v>
      </c>
    </row>
    <row r="219" spans="1:7" x14ac:dyDescent="0.15">
      <c r="A219" s="86">
        <v>45932</v>
      </c>
      <c r="B219" s="18">
        <v>220000</v>
      </c>
      <c r="C219" s="14">
        <v>216500</v>
      </c>
      <c r="D219" s="14">
        <v>223000</v>
      </c>
      <c r="E219" s="14">
        <v>216500</v>
      </c>
      <c r="F219" t="s">
        <v>173</v>
      </c>
      <c r="G219" s="15">
        <v>2.0899999999999998E-2</v>
      </c>
    </row>
    <row r="220" spans="1:7" x14ac:dyDescent="0.15">
      <c r="A220" s="86">
        <v>45931</v>
      </c>
      <c r="B220" s="18">
        <v>215500</v>
      </c>
      <c r="C220" s="14">
        <v>215500</v>
      </c>
      <c r="D220" s="14">
        <v>217000</v>
      </c>
      <c r="E220" s="14">
        <v>215000</v>
      </c>
      <c r="F220" t="s">
        <v>266</v>
      </c>
      <c r="G220" s="15">
        <v>2.3E-3</v>
      </c>
    </row>
    <row r="221" spans="1:7" x14ac:dyDescent="0.15">
      <c r="A221" s="86">
        <v>45930</v>
      </c>
      <c r="B221" s="18">
        <v>215000</v>
      </c>
      <c r="C221" s="14">
        <v>214000</v>
      </c>
      <c r="D221" s="14">
        <v>216000</v>
      </c>
      <c r="E221" s="14">
        <v>214000</v>
      </c>
      <c r="F221" t="s">
        <v>267</v>
      </c>
      <c r="G221" s="15">
        <v>0</v>
      </c>
    </row>
    <row r="222" spans="1:7" x14ac:dyDescent="0.15">
      <c r="A222" s="86">
        <v>45929</v>
      </c>
      <c r="B222" s="18">
        <v>215000</v>
      </c>
      <c r="C222" s="14">
        <v>215500</v>
      </c>
      <c r="D222" s="14">
        <v>216500</v>
      </c>
      <c r="E222" s="14">
        <v>214000</v>
      </c>
      <c r="F222" t="s">
        <v>268</v>
      </c>
      <c r="G222" s="15">
        <v>2.3E-3</v>
      </c>
    </row>
    <row r="223" spans="1:7" x14ac:dyDescent="0.15">
      <c r="A223" s="86">
        <v>45926</v>
      </c>
      <c r="B223" s="18">
        <v>214500</v>
      </c>
      <c r="C223" s="14">
        <v>215000</v>
      </c>
      <c r="D223" s="14">
        <v>215500</v>
      </c>
      <c r="E223" s="14">
        <v>213000</v>
      </c>
      <c r="F223" t="s">
        <v>269</v>
      </c>
      <c r="G223" s="15">
        <v>-1.15E-2</v>
      </c>
    </row>
    <row r="224" spans="1:7" x14ac:dyDescent="0.15">
      <c r="A224" s="86">
        <v>45925</v>
      </c>
      <c r="B224" s="18">
        <v>217000</v>
      </c>
      <c r="C224" s="14">
        <v>217000</v>
      </c>
      <c r="D224" s="14">
        <v>217500</v>
      </c>
      <c r="E224" s="14">
        <v>215500</v>
      </c>
      <c r="F224" t="s">
        <v>270</v>
      </c>
      <c r="G224" s="15">
        <v>-2.3E-3</v>
      </c>
    </row>
    <row r="225" spans="1:7" x14ac:dyDescent="0.15">
      <c r="A225" s="86">
        <v>45924</v>
      </c>
      <c r="B225" s="18">
        <v>217500</v>
      </c>
      <c r="C225" s="14">
        <v>218000</v>
      </c>
      <c r="D225" s="14">
        <v>219500</v>
      </c>
      <c r="E225" s="14">
        <v>216500</v>
      </c>
      <c r="F225" t="s">
        <v>271</v>
      </c>
      <c r="G225" s="15">
        <v>-6.7999999999999996E-3</v>
      </c>
    </row>
    <row r="226" spans="1:7" x14ac:dyDescent="0.15">
      <c r="A226" s="86">
        <v>45923</v>
      </c>
      <c r="B226" s="18">
        <v>219000</v>
      </c>
      <c r="C226" s="14">
        <v>217500</v>
      </c>
      <c r="D226" s="14">
        <v>220000</v>
      </c>
      <c r="E226" s="14">
        <v>217500</v>
      </c>
      <c r="F226" t="s">
        <v>272</v>
      </c>
      <c r="G226" s="15">
        <v>4.5999999999999999E-3</v>
      </c>
    </row>
    <row r="227" spans="1:7" x14ac:dyDescent="0.15">
      <c r="A227" s="86">
        <v>45922</v>
      </c>
      <c r="B227" s="18">
        <v>218000</v>
      </c>
      <c r="C227" s="14">
        <v>215000</v>
      </c>
      <c r="D227" s="14">
        <v>219000</v>
      </c>
      <c r="E227" s="14">
        <v>214500</v>
      </c>
      <c r="F227" t="s">
        <v>273</v>
      </c>
      <c r="G227" s="15">
        <v>1.8700000000000001E-2</v>
      </c>
    </row>
    <row r="228" spans="1:7" x14ac:dyDescent="0.15">
      <c r="A228" s="86">
        <v>45919</v>
      </c>
      <c r="B228" s="18">
        <v>214000</v>
      </c>
      <c r="C228" s="14">
        <v>218000</v>
      </c>
      <c r="D228" s="14">
        <v>218500</v>
      </c>
      <c r="E228" s="14">
        <v>212000</v>
      </c>
      <c r="F228" t="s">
        <v>180</v>
      </c>
      <c r="G228" s="15">
        <v>-2.06E-2</v>
      </c>
    </row>
    <row r="229" spans="1:7" x14ac:dyDescent="0.15">
      <c r="A229" s="86">
        <v>45918</v>
      </c>
      <c r="B229" s="18">
        <v>218500</v>
      </c>
      <c r="C229" s="14">
        <v>216500</v>
      </c>
      <c r="D229" s="14">
        <v>218500</v>
      </c>
      <c r="E229" s="14">
        <v>215000</v>
      </c>
      <c r="F229" t="s">
        <v>274</v>
      </c>
      <c r="G229" s="15">
        <v>1.1599999999999999E-2</v>
      </c>
    </row>
    <row r="230" spans="1:7" x14ac:dyDescent="0.15">
      <c r="A230" s="86">
        <v>45917</v>
      </c>
      <c r="B230" s="18">
        <v>216000</v>
      </c>
      <c r="C230" s="14">
        <v>216000</v>
      </c>
      <c r="D230" s="14">
        <v>216500</v>
      </c>
      <c r="E230" s="14">
        <v>215000</v>
      </c>
      <c r="F230" t="s">
        <v>275</v>
      </c>
      <c r="G230" s="15">
        <v>4.7000000000000002E-3</v>
      </c>
    </row>
    <row r="231" spans="1:7" x14ac:dyDescent="0.15">
      <c r="A231" s="86">
        <v>45916</v>
      </c>
      <c r="B231" s="18">
        <v>215000</v>
      </c>
      <c r="C231" s="14">
        <v>216000</v>
      </c>
      <c r="D231" s="14">
        <v>216500</v>
      </c>
      <c r="E231" s="14">
        <v>215000</v>
      </c>
      <c r="F231" t="s">
        <v>276</v>
      </c>
      <c r="G231" s="15">
        <v>0</v>
      </c>
    </row>
    <row r="232" spans="1:7" x14ac:dyDescent="0.15">
      <c r="A232" s="86">
        <v>45915</v>
      </c>
      <c r="B232" s="18">
        <v>215000</v>
      </c>
      <c r="C232" s="14">
        <v>221500</v>
      </c>
      <c r="D232" s="14">
        <v>221500</v>
      </c>
      <c r="E232" s="14">
        <v>215000</v>
      </c>
      <c r="F232" t="s">
        <v>229</v>
      </c>
      <c r="G232" s="15">
        <v>-3.7999999999999999E-2</v>
      </c>
    </row>
    <row r="233" spans="1:7" x14ac:dyDescent="0.15">
      <c r="A233" s="86">
        <v>45912</v>
      </c>
      <c r="B233" s="18">
        <v>223500</v>
      </c>
      <c r="C233" s="14">
        <v>222500</v>
      </c>
      <c r="D233" s="14">
        <v>224000</v>
      </c>
      <c r="E233" s="14">
        <v>220500</v>
      </c>
      <c r="F233" t="s">
        <v>277</v>
      </c>
      <c r="G233" s="15">
        <v>2.2000000000000001E-3</v>
      </c>
    </row>
    <row r="234" spans="1:7" x14ac:dyDescent="0.15">
      <c r="A234" s="86">
        <v>45911</v>
      </c>
      <c r="B234" s="18">
        <v>223000</v>
      </c>
      <c r="C234" s="14">
        <v>221500</v>
      </c>
      <c r="D234" s="14">
        <v>223000</v>
      </c>
      <c r="E234" s="14">
        <v>219000</v>
      </c>
      <c r="F234" t="s">
        <v>278</v>
      </c>
      <c r="G234" s="15">
        <v>1.1299999999999999E-2</v>
      </c>
    </row>
    <row r="235" spans="1:7" x14ac:dyDescent="0.15">
      <c r="A235" s="86">
        <v>45910</v>
      </c>
      <c r="B235" s="18">
        <v>220500</v>
      </c>
      <c r="C235" s="14">
        <v>219500</v>
      </c>
      <c r="D235" s="14">
        <v>222000</v>
      </c>
      <c r="E235" s="14">
        <v>219000</v>
      </c>
      <c r="F235" t="s">
        <v>279</v>
      </c>
      <c r="G235" s="15">
        <v>6.7999999999999996E-3</v>
      </c>
    </row>
    <row r="236" spans="1:7" x14ac:dyDescent="0.15">
      <c r="A236" s="86">
        <v>45909</v>
      </c>
      <c r="B236" s="18">
        <v>219000</v>
      </c>
      <c r="C236" s="14">
        <v>219500</v>
      </c>
      <c r="D236" s="14">
        <v>220500</v>
      </c>
      <c r="E236" s="14">
        <v>218500</v>
      </c>
      <c r="F236" t="s">
        <v>280</v>
      </c>
      <c r="G236" s="15">
        <v>2.3E-3</v>
      </c>
    </row>
    <row r="237" spans="1:7" x14ac:dyDescent="0.15">
      <c r="A237" s="86">
        <v>45908</v>
      </c>
      <c r="B237" s="18">
        <v>218500</v>
      </c>
      <c r="C237" s="14">
        <v>218000</v>
      </c>
      <c r="D237" s="14">
        <v>218500</v>
      </c>
      <c r="E237" s="14">
        <v>215500</v>
      </c>
      <c r="F237" t="s">
        <v>281</v>
      </c>
      <c r="G237" s="15">
        <v>-6.7999999999999996E-3</v>
      </c>
    </row>
    <row r="238" spans="1:7" x14ac:dyDescent="0.15">
      <c r="A238" s="86">
        <v>45905</v>
      </c>
      <c r="B238" s="18">
        <v>220000</v>
      </c>
      <c r="C238" s="14">
        <v>222000</v>
      </c>
      <c r="D238" s="14">
        <v>222500</v>
      </c>
      <c r="E238" s="14">
        <v>219500</v>
      </c>
      <c r="F238" t="s">
        <v>282</v>
      </c>
      <c r="G238" s="15">
        <v>-6.7999999999999996E-3</v>
      </c>
    </row>
    <row r="239" spans="1:7" x14ac:dyDescent="0.15">
      <c r="A239" s="86">
        <v>45904</v>
      </c>
      <c r="B239" s="18">
        <v>221500</v>
      </c>
      <c r="C239" s="14">
        <v>221000</v>
      </c>
      <c r="D239" s="14">
        <v>221500</v>
      </c>
      <c r="E239" s="14">
        <v>219500</v>
      </c>
      <c r="F239" t="s">
        <v>283</v>
      </c>
      <c r="G239" s="15">
        <v>0</v>
      </c>
    </row>
    <row r="240" spans="1:7" x14ac:dyDescent="0.15">
      <c r="A240" s="86">
        <v>45903</v>
      </c>
      <c r="B240" s="18">
        <v>221500</v>
      </c>
      <c r="C240" s="14">
        <v>218500</v>
      </c>
      <c r="D240" s="14">
        <v>223500</v>
      </c>
      <c r="E240" s="14">
        <v>218500</v>
      </c>
      <c r="F240" t="s">
        <v>284</v>
      </c>
      <c r="G240" s="15">
        <v>6.7999999999999996E-3</v>
      </c>
    </row>
    <row r="241" spans="1:7" x14ac:dyDescent="0.15">
      <c r="A241" s="86">
        <v>45902</v>
      </c>
      <c r="B241" s="18">
        <v>220000</v>
      </c>
      <c r="C241" s="14">
        <v>221000</v>
      </c>
      <c r="D241" s="14">
        <v>221000</v>
      </c>
      <c r="E241" s="14">
        <v>217000</v>
      </c>
      <c r="F241" t="s">
        <v>285</v>
      </c>
      <c r="G241" s="15">
        <v>-2.3E-3</v>
      </c>
    </row>
    <row r="242" spans="1:7" x14ac:dyDescent="0.15">
      <c r="A242" s="86">
        <v>45901</v>
      </c>
      <c r="B242" s="18">
        <v>220500</v>
      </c>
      <c r="C242" s="14">
        <v>220500</v>
      </c>
      <c r="D242" s="14">
        <v>223000</v>
      </c>
      <c r="E242" s="14">
        <v>219000</v>
      </c>
      <c r="F242" t="s">
        <v>286</v>
      </c>
      <c r="G242" s="15">
        <v>2.3E-3</v>
      </c>
    </row>
    <row r="243" spans="1:7" x14ac:dyDescent="0.15">
      <c r="A243" s="86">
        <v>45898</v>
      </c>
      <c r="B243" s="18">
        <v>220000</v>
      </c>
      <c r="C243" s="14">
        <v>223000</v>
      </c>
      <c r="D243" s="14">
        <v>224500</v>
      </c>
      <c r="E243" s="14">
        <v>218500</v>
      </c>
      <c r="F243" t="s">
        <v>287</v>
      </c>
      <c r="G243" s="15">
        <v>-8.9999999999999993E-3</v>
      </c>
    </row>
    <row r="244" spans="1:7" x14ac:dyDescent="0.15">
      <c r="A244" s="86">
        <v>45897</v>
      </c>
      <c r="B244" s="18">
        <v>222000</v>
      </c>
      <c r="C244" s="14">
        <v>218500</v>
      </c>
      <c r="D244" s="14">
        <v>225000</v>
      </c>
      <c r="E244" s="14">
        <v>218000</v>
      </c>
      <c r="F244" t="s">
        <v>288</v>
      </c>
      <c r="G244" s="15">
        <v>9.1000000000000004E-3</v>
      </c>
    </row>
    <row r="245" spans="1:7" x14ac:dyDescent="0.15">
      <c r="A245" s="86">
        <v>45896</v>
      </c>
      <c r="B245" s="18">
        <v>220000</v>
      </c>
      <c r="C245" s="14">
        <v>219000</v>
      </c>
      <c r="D245" s="14">
        <v>221000</v>
      </c>
      <c r="E245" s="14">
        <v>218500</v>
      </c>
      <c r="F245" t="s">
        <v>289</v>
      </c>
      <c r="G245" s="15">
        <v>6.8999999999999999E-3</v>
      </c>
    </row>
    <row r="246" spans="1:7" x14ac:dyDescent="0.15">
      <c r="A246" s="86">
        <v>45895</v>
      </c>
      <c r="B246" s="18">
        <v>218500</v>
      </c>
      <c r="C246" s="14">
        <v>220500</v>
      </c>
      <c r="D246" s="14">
        <v>222000</v>
      </c>
      <c r="E246" s="14">
        <v>217500</v>
      </c>
      <c r="F246" t="s">
        <v>290</v>
      </c>
      <c r="G246" s="15">
        <v>-1.5800000000000002E-2</v>
      </c>
    </row>
    <row r="247" spans="1:7" x14ac:dyDescent="0.15">
      <c r="A247" s="86">
        <v>45894</v>
      </c>
      <c r="B247" s="18">
        <v>222000</v>
      </c>
      <c r="C247" s="14">
        <v>221500</v>
      </c>
      <c r="D247" s="14">
        <v>222000</v>
      </c>
      <c r="E247" s="14">
        <v>217500</v>
      </c>
      <c r="F247" t="s">
        <v>291</v>
      </c>
      <c r="G247" s="15">
        <v>9.1000000000000004E-3</v>
      </c>
    </row>
    <row r="248" spans="1:7" x14ac:dyDescent="0.15">
      <c r="A248" s="86">
        <v>45891</v>
      </c>
      <c r="B248" s="18">
        <v>220000</v>
      </c>
      <c r="C248" s="14">
        <v>222000</v>
      </c>
      <c r="D248" s="14">
        <v>223500</v>
      </c>
      <c r="E248" s="14">
        <v>219500</v>
      </c>
      <c r="F248" t="s">
        <v>292</v>
      </c>
      <c r="G248" s="15">
        <v>-6.7999999999999996E-3</v>
      </c>
    </row>
    <row r="249" spans="1:7" x14ac:dyDescent="0.15">
      <c r="A249" s="86">
        <v>45890</v>
      </c>
      <c r="B249" s="18">
        <v>221500</v>
      </c>
      <c r="C249" s="14">
        <v>221000</v>
      </c>
      <c r="D249" s="14">
        <v>224500</v>
      </c>
      <c r="E249" s="14">
        <v>220500</v>
      </c>
      <c r="F249" t="s">
        <v>293</v>
      </c>
      <c r="G249" s="15">
        <v>4.4999999999999997E-3</v>
      </c>
    </row>
    <row r="250" spans="1:7" x14ac:dyDescent="0.15">
      <c r="A250" s="86">
        <v>45889</v>
      </c>
      <c r="B250" s="18">
        <v>220500</v>
      </c>
      <c r="C250" s="14">
        <v>218500</v>
      </c>
      <c r="D250" s="14">
        <v>222000</v>
      </c>
      <c r="E250" s="14">
        <v>217500</v>
      </c>
      <c r="F250" t="s">
        <v>294</v>
      </c>
      <c r="G250" s="15">
        <v>6.7999999999999996E-3</v>
      </c>
    </row>
    <row r="251" spans="1:7" x14ac:dyDescent="0.15">
      <c r="A251" s="86">
        <v>45888</v>
      </c>
      <c r="B251" s="18">
        <v>219000</v>
      </c>
      <c r="C251" s="14">
        <v>216500</v>
      </c>
      <c r="D251" s="14">
        <v>219000</v>
      </c>
      <c r="E251" s="14">
        <v>215000</v>
      </c>
      <c r="F251" t="s">
        <v>295</v>
      </c>
      <c r="G251" s="15">
        <v>1.15E-2</v>
      </c>
    </row>
    <row r="252" spans="1:7" x14ac:dyDescent="0.15">
      <c r="A252" s="86">
        <v>45887</v>
      </c>
      <c r="B252" s="18">
        <v>216500</v>
      </c>
      <c r="C252" s="14">
        <v>217500</v>
      </c>
      <c r="D252" s="14">
        <v>218000</v>
      </c>
      <c r="E252" s="14">
        <v>215000</v>
      </c>
      <c r="F252" t="s">
        <v>296</v>
      </c>
      <c r="G252" s="15">
        <v>-4.5999999999999999E-3</v>
      </c>
    </row>
    <row r="253" spans="1:7" x14ac:dyDescent="0.15">
      <c r="A253" s="86">
        <v>45883</v>
      </c>
      <c r="B253" s="18">
        <v>217500</v>
      </c>
      <c r="C253" s="14">
        <v>216000</v>
      </c>
      <c r="D253" s="14">
        <v>219000</v>
      </c>
      <c r="E253" s="14">
        <v>216000</v>
      </c>
      <c r="F253" t="s">
        <v>297</v>
      </c>
      <c r="G253" s="15">
        <v>6.8999999999999999E-3</v>
      </c>
    </row>
    <row r="254" spans="1:7" x14ac:dyDescent="0.15">
      <c r="A254" s="86">
        <v>45882</v>
      </c>
      <c r="B254" s="18">
        <v>216000</v>
      </c>
      <c r="C254" s="14">
        <v>215500</v>
      </c>
      <c r="D254" s="14">
        <v>216000</v>
      </c>
      <c r="E254" s="14">
        <v>214000</v>
      </c>
      <c r="F254" t="s">
        <v>298</v>
      </c>
      <c r="G254" s="15">
        <v>1.41E-2</v>
      </c>
    </row>
    <row r="255" spans="1:7" x14ac:dyDescent="0.15">
      <c r="A255" s="86">
        <v>45881</v>
      </c>
      <c r="B255" s="18">
        <v>213000</v>
      </c>
      <c r="C255" s="14">
        <v>212000</v>
      </c>
      <c r="D255" s="14">
        <v>216000</v>
      </c>
      <c r="E255" s="14">
        <v>211500</v>
      </c>
      <c r="F255" t="s">
        <v>299</v>
      </c>
      <c r="G255" s="15">
        <v>2.3999999999999998E-3</v>
      </c>
    </row>
    <row r="256" spans="1:7" x14ac:dyDescent="0.15">
      <c r="A256" s="86">
        <v>45880</v>
      </c>
      <c r="B256" s="18">
        <v>212500</v>
      </c>
      <c r="C256" s="14">
        <v>213000</v>
      </c>
      <c r="D256" s="14">
        <v>213500</v>
      </c>
      <c r="E256" s="14">
        <v>211500</v>
      </c>
      <c r="F256" t="s">
        <v>300</v>
      </c>
      <c r="G256" s="15">
        <v>0</v>
      </c>
    </row>
    <row r="257" spans="1:7" x14ac:dyDescent="0.15">
      <c r="A257" s="86">
        <v>45877</v>
      </c>
      <c r="B257" s="18">
        <v>212500</v>
      </c>
      <c r="C257" s="14">
        <v>212500</v>
      </c>
      <c r="D257" s="14">
        <v>214000</v>
      </c>
      <c r="E257" s="14">
        <v>211500</v>
      </c>
      <c r="F257" t="s">
        <v>301</v>
      </c>
      <c r="G257" s="15">
        <v>0</v>
      </c>
    </row>
    <row r="258" spans="1:7" x14ac:dyDescent="0.15">
      <c r="A258" s="86">
        <v>45876</v>
      </c>
      <c r="B258" s="18">
        <v>212500</v>
      </c>
      <c r="C258" s="14">
        <v>213500</v>
      </c>
      <c r="D258" s="14">
        <v>215000</v>
      </c>
      <c r="E258" s="14">
        <v>211000</v>
      </c>
      <c r="F258" t="s">
        <v>302</v>
      </c>
      <c r="G258" s="15">
        <v>9.4999999999999998E-3</v>
      </c>
    </row>
    <row r="259" spans="1:7" x14ac:dyDescent="0.15">
      <c r="A259" s="86">
        <v>45875</v>
      </c>
      <c r="B259" s="18">
        <v>210500</v>
      </c>
      <c r="C259" s="14">
        <v>209000</v>
      </c>
      <c r="D259" s="14">
        <v>211500</v>
      </c>
      <c r="E259" s="14">
        <v>208500</v>
      </c>
      <c r="F259" t="s">
        <v>303</v>
      </c>
      <c r="G259" s="15">
        <v>0</v>
      </c>
    </row>
    <row r="260" spans="1:7" x14ac:dyDescent="0.15">
      <c r="A260" s="86">
        <v>45874</v>
      </c>
      <c r="B260" s="18">
        <v>210500</v>
      </c>
      <c r="C260" s="14">
        <v>213000</v>
      </c>
      <c r="D260" s="14">
        <v>215000</v>
      </c>
      <c r="E260" s="14">
        <v>209500</v>
      </c>
      <c r="F260" t="s">
        <v>304</v>
      </c>
      <c r="G260" s="15">
        <v>-2.3999999999999998E-3</v>
      </c>
    </row>
    <row r="261" spans="1:7" x14ac:dyDescent="0.15">
      <c r="A261" s="86">
        <v>45873</v>
      </c>
      <c r="B261" s="18">
        <v>211000</v>
      </c>
      <c r="C261" s="14">
        <v>210000</v>
      </c>
      <c r="D261" s="14">
        <v>212500</v>
      </c>
      <c r="E261" s="14">
        <v>207000</v>
      </c>
      <c r="F261" t="s">
        <v>305</v>
      </c>
      <c r="G261" s="15">
        <v>4.7999999999999996E-3</v>
      </c>
    </row>
    <row r="262" spans="1:7" x14ac:dyDescent="0.15">
      <c r="A262" s="86">
        <v>45870</v>
      </c>
      <c r="B262" s="18">
        <v>210000</v>
      </c>
      <c r="C262" s="14">
        <v>211000</v>
      </c>
      <c r="D262" s="14">
        <v>215500</v>
      </c>
      <c r="E262" s="14">
        <v>210000</v>
      </c>
      <c r="F262" t="s">
        <v>91</v>
      </c>
      <c r="G262" s="15">
        <v>-1.41E-2</v>
      </c>
    </row>
    <row r="263" spans="1:7" x14ac:dyDescent="0.15">
      <c r="A263" s="86">
        <v>45869</v>
      </c>
      <c r="B263" s="18">
        <v>213000</v>
      </c>
      <c r="C263" s="14">
        <v>233000</v>
      </c>
      <c r="D263" s="14">
        <v>233000</v>
      </c>
      <c r="E263" s="14">
        <v>212000</v>
      </c>
      <c r="F263" t="s">
        <v>306</v>
      </c>
      <c r="G263" s="15">
        <v>-4.48E-2</v>
      </c>
    </row>
    <row r="264" spans="1:7" x14ac:dyDescent="0.15">
      <c r="A264" s="86">
        <v>45868</v>
      </c>
      <c r="B264" s="18">
        <v>223000</v>
      </c>
      <c r="C264" s="14">
        <v>215500</v>
      </c>
      <c r="D264" s="14">
        <v>228000</v>
      </c>
      <c r="E264" s="14">
        <v>215500</v>
      </c>
      <c r="F264" t="s">
        <v>116</v>
      </c>
      <c r="G264" s="15">
        <v>2.29E-2</v>
      </c>
    </row>
    <row r="265" spans="1:7" x14ac:dyDescent="0.15">
      <c r="A265" s="86">
        <v>45867</v>
      </c>
      <c r="B265" s="18">
        <v>218000</v>
      </c>
      <c r="C265" s="14">
        <v>217500</v>
      </c>
      <c r="D265" s="14">
        <v>218500</v>
      </c>
      <c r="E265" s="14">
        <v>214000</v>
      </c>
      <c r="F265" t="s">
        <v>307</v>
      </c>
      <c r="G265" s="15">
        <v>-2.3E-3</v>
      </c>
    </row>
    <row r="266" spans="1:7" x14ac:dyDescent="0.15">
      <c r="A266" s="86">
        <v>45866</v>
      </c>
      <c r="B266" s="18">
        <v>218500</v>
      </c>
      <c r="C266" s="14">
        <v>221500</v>
      </c>
      <c r="D266" s="14">
        <v>222500</v>
      </c>
      <c r="E266" s="14">
        <v>216000</v>
      </c>
      <c r="F266" t="s">
        <v>308</v>
      </c>
      <c r="G266" s="15">
        <v>9.1999999999999998E-3</v>
      </c>
    </row>
    <row r="267" spans="1:7" x14ac:dyDescent="0.15">
      <c r="A267" s="86">
        <v>45863</v>
      </c>
      <c r="B267" s="18">
        <v>216500</v>
      </c>
      <c r="C267" s="14">
        <v>215000</v>
      </c>
      <c r="D267" s="14">
        <v>221000</v>
      </c>
      <c r="E267" s="14">
        <v>214000</v>
      </c>
      <c r="F267" t="s">
        <v>309</v>
      </c>
      <c r="G267" s="15">
        <v>-4.5999999999999999E-3</v>
      </c>
    </row>
    <row r="268" spans="1:7" x14ac:dyDescent="0.15">
      <c r="A268" s="86">
        <v>45862</v>
      </c>
      <c r="B268" s="18">
        <v>217500</v>
      </c>
      <c r="C268" s="14">
        <v>221000</v>
      </c>
      <c r="D268" s="14">
        <v>225500</v>
      </c>
      <c r="E268" s="14">
        <v>214500</v>
      </c>
      <c r="F268" t="s">
        <v>179</v>
      </c>
      <c r="G268" s="15">
        <v>-2.0299999999999999E-2</v>
      </c>
    </row>
    <row r="269" spans="1:7" x14ac:dyDescent="0.15">
      <c r="A269" s="86">
        <v>45861</v>
      </c>
      <c r="B269" s="18">
        <v>222000</v>
      </c>
      <c r="C269" s="14">
        <v>213000</v>
      </c>
      <c r="D269" s="14">
        <v>223000</v>
      </c>
      <c r="E269" s="14">
        <v>213000</v>
      </c>
      <c r="F269" t="s">
        <v>210</v>
      </c>
      <c r="G269" s="15">
        <v>7.51E-2</v>
      </c>
    </row>
    <row r="270" spans="1:7" x14ac:dyDescent="0.15">
      <c r="A270" s="86">
        <v>45860</v>
      </c>
      <c r="B270" s="18">
        <v>206500</v>
      </c>
      <c r="C270" s="14">
        <v>209000</v>
      </c>
      <c r="D270" s="14">
        <v>209500</v>
      </c>
      <c r="E270" s="14">
        <v>204500</v>
      </c>
      <c r="F270" t="s">
        <v>310</v>
      </c>
      <c r="G270" s="15">
        <v>-1.2E-2</v>
      </c>
    </row>
    <row r="271" spans="1:7" x14ac:dyDescent="0.15">
      <c r="A271" s="86">
        <v>45859</v>
      </c>
      <c r="B271" s="18">
        <v>209000</v>
      </c>
      <c r="C271" s="14">
        <v>209500</v>
      </c>
      <c r="D271" s="14">
        <v>210500</v>
      </c>
      <c r="E271" s="14">
        <v>208000</v>
      </c>
      <c r="F271" t="s">
        <v>311</v>
      </c>
      <c r="G271" s="15">
        <v>-7.1000000000000004E-3</v>
      </c>
    </row>
    <row r="272" spans="1:7" x14ac:dyDescent="0.15">
      <c r="A272" s="86">
        <v>45856</v>
      </c>
      <c r="B272" s="18">
        <v>210500</v>
      </c>
      <c r="C272" s="14">
        <v>210000</v>
      </c>
      <c r="D272" s="14">
        <v>212500</v>
      </c>
      <c r="E272" s="14">
        <v>208500</v>
      </c>
      <c r="F272" t="s">
        <v>312</v>
      </c>
      <c r="G272" s="15">
        <v>2.3999999999999998E-3</v>
      </c>
    </row>
    <row r="273" spans="1:7" x14ac:dyDescent="0.15">
      <c r="A273" s="86">
        <v>45855</v>
      </c>
      <c r="B273" s="18">
        <v>210000</v>
      </c>
      <c r="C273" s="14">
        <v>208500</v>
      </c>
      <c r="D273" s="14">
        <v>212000</v>
      </c>
      <c r="E273" s="14">
        <v>205500</v>
      </c>
      <c r="F273" t="s">
        <v>313</v>
      </c>
      <c r="G273" s="15">
        <v>1.2E-2</v>
      </c>
    </row>
    <row r="274" spans="1:7" x14ac:dyDescent="0.15">
      <c r="A274" s="86">
        <v>45854</v>
      </c>
      <c r="B274" s="18">
        <v>207500</v>
      </c>
      <c r="C274" s="14">
        <v>211000</v>
      </c>
      <c r="D274" s="14">
        <v>211000</v>
      </c>
      <c r="E274" s="14">
        <v>207500</v>
      </c>
      <c r="F274" t="s">
        <v>314</v>
      </c>
      <c r="G274" s="15">
        <v>-1.66E-2</v>
      </c>
    </row>
    <row r="275" spans="1:7" x14ac:dyDescent="0.15">
      <c r="A275" s="86">
        <v>45853</v>
      </c>
      <c r="B275" s="18">
        <v>211000</v>
      </c>
      <c r="C275" s="14">
        <v>217000</v>
      </c>
      <c r="D275" s="14">
        <v>217500</v>
      </c>
      <c r="E275" s="14">
        <v>209500</v>
      </c>
      <c r="F275" t="s">
        <v>315</v>
      </c>
      <c r="G275" s="15">
        <v>-2.76E-2</v>
      </c>
    </row>
    <row r="276" spans="1:7" x14ac:dyDescent="0.15">
      <c r="A276" s="86">
        <v>45852</v>
      </c>
      <c r="B276" s="18">
        <v>217000</v>
      </c>
      <c r="C276" s="14">
        <v>208500</v>
      </c>
      <c r="D276" s="14">
        <v>218000</v>
      </c>
      <c r="E276" s="14">
        <v>208000</v>
      </c>
      <c r="F276" t="s">
        <v>171</v>
      </c>
      <c r="G276" s="15">
        <v>4.3299999999999998E-2</v>
      </c>
    </row>
    <row r="277" spans="1:7" x14ac:dyDescent="0.15">
      <c r="A277" s="86">
        <v>45849</v>
      </c>
      <c r="B277" s="18">
        <v>208000</v>
      </c>
      <c r="C277" s="14">
        <v>209000</v>
      </c>
      <c r="D277" s="14">
        <v>211500</v>
      </c>
      <c r="E277" s="14">
        <v>207500</v>
      </c>
      <c r="F277" t="s">
        <v>316</v>
      </c>
      <c r="G277" s="15">
        <v>0</v>
      </c>
    </row>
    <row r="278" spans="1:7" x14ac:dyDescent="0.15">
      <c r="A278" s="86">
        <v>45848</v>
      </c>
      <c r="B278" s="18">
        <v>208000</v>
      </c>
      <c r="C278" s="14">
        <v>210000</v>
      </c>
      <c r="D278" s="14">
        <v>211500</v>
      </c>
      <c r="E278" s="14">
        <v>205500</v>
      </c>
      <c r="F278" t="s">
        <v>317</v>
      </c>
      <c r="G278" s="15">
        <v>-7.1999999999999998E-3</v>
      </c>
    </row>
    <row r="279" spans="1:7" x14ac:dyDescent="0.15">
      <c r="A279" s="86">
        <v>45847</v>
      </c>
      <c r="B279" s="18">
        <v>209500</v>
      </c>
      <c r="C279" s="14">
        <v>208500</v>
      </c>
      <c r="D279" s="14">
        <v>209500</v>
      </c>
      <c r="E279" s="14">
        <v>205500</v>
      </c>
      <c r="F279" t="s">
        <v>318</v>
      </c>
      <c r="G279" s="15">
        <v>-7.1000000000000004E-3</v>
      </c>
    </row>
    <row r="280" spans="1:7" x14ac:dyDescent="0.15">
      <c r="A280" s="86">
        <v>45846</v>
      </c>
      <c r="B280" s="18">
        <v>211000</v>
      </c>
      <c r="C280" s="14">
        <v>207000</v>
      </c>
      <c r="D280" s="14">
        <v>211500</v>
      </c>
      <c r="E280" s="14">
        <v>205500</v>
      </c>
      <c r="F280" t="s">
        <v>319</v>
      </c>
      <c r="G280" s="15">
        <v>1.2E-2</v>
      </c>
    </row>
    <row r="281" spans="1:7" x14ac:dyDescent="0.15">
      <c r="A281" s="86">
        <v>45845</v>
      </c>
      <c r="B281" s="18">
        <v>208500</v>
      </c>
      <c r="C281" s="14">
        <v>210000</v>
      </c>
      <c r="D281" s="14">
        <v>210500</v>
      </c>
      <c r="E281" s="14">
        <v>207000</v>
      </c>
      <c r="F281" t="s">
        <v>320</v>
      </c>
      <c r="G281" s="15">
        <v>-9.4999999999999998E-3</v>
      </c>
    </row>
    <row r="282" spans="1:7" x14ac:dyDescent="0.15">
      <c r="A282" s="86">
        <v>45842</v>
      </c>
      <c r="B282" s="18">
        <v>210500</v>
      </c>
      <c r="C282" s="14">
        <v>214500</v>
      </c>
      <c r="D282" s="14">
        <v>216500</v>
      </c>
      <c r="E282" s="14">
        <v>210000</v>
      </c>
      <c r="F282" t="s">
        <v>321</v>
      </c>
      <c r="G282" s="15">
        <v>-1.8599999999999998E-2</v>
      </c>
    </row>
    <row r="283" spans="1:7" x14ac:dyDescent="0.15">
      <c r="A283" s="86">
        <v>45841</v>
      </c>
      <c r="B283" s="18">
        <v>214500</v>
      </c>
      <c r="C283" s="14">
        <v>215000</v>
      </c>
      <c r="D283" s="14">
        <v>217000</v>
      </c>
      <c r="E283" s="14">
        <v>211500</v>
      </c>
      <c r="F283" t="s">
        <v>322</v>
      </c>
      <c r="G283" s="15">
        <v>4.7000000000000002E-3</v>
      </c>
    </row>
    <row r="284" spans="1:7" x14ac:dyDescent="0.15">
      <c r="A284" s="86">
        <v>45840</v>
      </c>
      <c r="B284" s="18">
        <v>213500</v>
      </c>
      <c r="C284" s="14">
        <v>215000</v>
      </c>
      <c r="D284" s="14">
        <v>218000</v>
      </c>
      <c r="E284" s="14">
        <v>210000</v>
      </c>
      <c r="F284" t="s">
        <v>129</v>
      </c>
      <c r="G284" s="15">
        <v>1.67E-2</v>
      </c>
    </row>
    <row r="285" spans="1:7" x14ac:dyDescent="0.15">
      <c r="A285" s="86">
        <v>45839</v>
      </c>
      <c r="B285" s="18">
        <v>210000</v>
      </c>
      <c r="C285" s="14">
        <v>204000</v>
      </c>
      <c r="D285" s="14">
        <v>214500</v>
      </c>
      <c r="E285" s="14">
        <v>203500</v>
      </c>
      <c r="F285" t="s">
        <v>129</v>
      </c>
      <c r="G285" s="15">
        <v>3.1899999999999998E-2</v>
      </c>
    </row>
    <row r="286" spans="1:7" x14ac:dyDescent="0.15">
      <c r="A286" s="86">
        <v>45838</v>
      </c>
      <c r="B286" s="18">
        <v>203500</v>
      </c>
      <c r="C286" s="14">
        <v>204500</v>
      </c>
      <c r="D286" s="14">
        <v>207000</v>
      </c>
      <c r="E286" s="14">
        <v>203500</v>
      </c>
      <c r="F286" t="s">
        <v>323</v>
      </c>
      <c r="G286" s="15">
        <v>-7.3000000000000001E-3</v>
      </c>
    </row>
    <row r="287" spans="1:7" x14ac:dyDescent="0.15">
      <c r="A287" s="86">
        <v>45835</v>
      </c>
      <c r="B287" s="18">
        <v>205000</v>
      </c>
      <c r="C287" s="14">
        <v>211000</v>
      </c>
      <c r="D287" s="14">
        <v>211000</v>
      </c>
      <c r="E287" s="14">
        <v>203000</v>
      </c>
      <c r="F287" t="s">
        <v>324</v>
      </c>
      <c r="G287" s="15">
        <v>-2.1499999999999998E-2</v>
      </c>
    </row>
    <row r="288" spans="1:7" x14ac:dyDescent="0.15">
      <c r="A288" s="86">
        <v>45834</v>
      </c>
      <c r="B288" s="18">
        <v>209500</v>
      </c>
      <c r="C288" s="14">
        <v>214500</v>
      </c>
      <c r="D288" s="14">
        <v>215000</v>
      </c>
      <c r="E288" s="14">
        <v>208000</v>
      </c>
      <c r="F288" t="s">
        <v>325</v>
      </c>
      <c r="G288" s="15">
        <v>-3.4599999999999999E-2</v>
      </c>
    </row>
    <row r="289" spans="1:7" x14ac:dyDescent="0.15">
      <c r="A289" s="86">
        <v>45833</v>
      </c>
      <c r="B289" s="18">
        <v>217000</v>
      </c>
      <c r="C289" s="14">
        <v>206500</v>
      </c>
      <c r="D289" s="14">
        <v>221500</v>
      </c>
      <c r="E289" s="14">
        <v>206000</v>
      </c>
      <c r="F289" t="s">
        <v>326</v>
      </c>
      <c r="G289" s="15">
        <v>5.3400000000000003E-2</v>
      </c>
    </row>
    <row r="290" spans="1:7" x14ac:dyDescent="0.15">
      <c r="A290" s="86">
        <v>45832</v>
      </c>
      <c r="B290" s="18">
        <v>206000</v>
      </c>
      <c r="C290" s="14">
        <v>206500</v>
      </c>
      <c r="D290" s="14">
        <v>208000</v>
      </c>
      <c r="E290" s="14">
        <v>203000</v>
      </c>
      <c r="F290" t="s">
        <v>327</v>
      </c>
      <c r="G290" s="15">
        <v>2.23E-2</v>
      </c>
    </row>
    <row r="291" spans="1:7" x14ac:dyDescent="0.15">
      <c r="A291" s="86">
        <v>45831</v>
      </c>
      <c r="B291" s="18">
        <v>201500</v>
      </c>
      <c r="C291" s="14">
        <v>205500</v>
      </c>
      <c r="D291" s="14">
        <v>206000</v>
      </c>
      <c r="E291" s="14">
        <v>200500</v>
      </c>
      <c r="F291" t="s">
        <v>328</v>
      </c>
      <c r="G291" s="15">
        <v>-4.0500000000000001E-2</v>
      </c>
    </row>
    <row r="292" spans="1:7" x14ac:dyDescent="0.15">
      <c r="A292" s="86">
        <v>45828</v>
      </c>
      <c r="B292" s="18">
        <v>210000</v>
      </c>
      <c r="C292" s="14">
        <v>208000</v>
      </c>
      <c r="D292" s="14">
        <v>210500</v>
      </c>
      <c r="E292" s="14">
        <v>205500</v>
      </c>
      <c r="F292" t="s">
        <v>329</v>
      </c>
      <c r="G292" s="15">
        <v>1.4500000000000001E-2</v>
      </c>
    </row>
    <row r="293" spans="1:7" x14ac:dyDescent="0.15">
      <c r="A293" s="86">
        <v>45827</v>
      </c>
      <c r="B293" s="18">
        <v>207000</v>
      </c>
      <c r="C293" s="14">
        <v>209500</v>
      </c>
      <c r="D293" s="14">
        <v>211500</v>
      </c>
      <c r="E293" s="14">
        <v>205500</v>
      </c>
      <c r="F293" t="s">
        <v>330</v>
      </c>
      <c r="G293" s="15">
        <v>4.8999999999999998E-3</v>
      </c>
    </row>
    <row r="294" spans="1:7" x14ac:dyDescent="0.15">
      <c r="A294" s="86">
        <v>45826</v>
      </c>
      <c r="B294" s="18">
        <v>206000</v>
      </c>
      <c r="C294" s="14">
        <v>202500</v>
      </c>
      <c r="D294" s="14">
        <v>207000</v>
      </c>
      <c r="E294" s="14">
        <v>200500</v>
      </c>
      <c r="F294" t="s">
        <v>331</v>
      </c>
      <c r="G294" s="15">
        <v>4.8999999999999998E-3</v>
      </c>
    </row>
    <row r="295" spans="1:7" x14ac:dyDescent="0.15">
      <c r="A295" s="86">
        <v>45825</v>
      </c>
      <c r="B295" s="18">
        <v>205000</v>
      </c>
      <c r="C295" s="14">
        <v>202500</v>
      </c>
      <c r="D295" s="14">
        <v>208000</v>
      </c>
      <c r="E295" s="14">
        <v>200500</v>
      </c>
      <c r="F295" t="s">
        <v>332</v>
      </c>
      <c r="G295" s="15">
        <v>1.7399999999999999E-2</v>
      </c>
    </row>
    <row r="296" spans="1:7" x14ac:dyDescent="0.15">
      <c r="A296" s="86">
        <v>45824</v>
      </c>
      <c r="B296" s="18">
        <v>201500</v>
      </c>
      <c r="C296" s="14">
        <v>198300</v>
      </c>
      <c r="D296" s="14">
        <v>202000</v>
      </c>
      <c r="E296" s="14">
        <v>196200</v>
      </c>
      <c r="F296" t="s">
        <v>333</v>
      </c>
      <c r="G296" s="15">
        <v>1.26E-2</v>
      </c>
    </row>
    <row r="297" spans="1:7" x14ac:dyDescent="0.15">
      <c r="A297" s="86">
        <v>45821</v>
      </c>
      <c r="B297" s="18">
        <v>199000</v>
      </c>
      <c r="C297" s="14">
        <v>199400</v>
      </c>
      <c r="D297" s="14">
        <v>199800</v>
      </c>
      <c r="E297" s="14">
        <v>196800</v>
      </c>
      <c r="F297" t="s">
        <v>334</v>
      </c>
      <c r="G297" s="15">
        <v>-1.24E-2</v>
      </c>
    </row>
    <row r="298" spans="1:7" x14ac:dyDescent="0.15">
      <c r="A298" s="86">
        <v>45820</v>
      </c>
      <c r="B298" s="18">
        <v>201500</v>
      </c>
      <c r="C298" s="14">
        <v>201500</v>
      </c>
      <c r="D298" s="14">
        <v>204500</v>
      </c>
      <c r="E298" s="14">
        <v>200500</v>
      </c>
      <c r="F298" t="s">
        <v>335</v>
      </c>
      <c r="G298" s="15">
        <v>2.5000000000000001E-3</v>
      </c>
    </row>
    <row r="299" spans="1:7" x14ac:dyDescent="0.15">
      <c r="A299" s="86">
        <v>45819</v>
      </c>
      <c r="B299" s="18">
        <v>201000</v>
      </c>
      <c r="C299" s="14">
        <v>199100</v>
      </c>
      <c r="D299" s="14">
        <v>201500</v>
      </c>
      <c r="E299" s="14">
        <v>199000</v>
      </c>
      <c r="F299" t="s">
        <v>336</v>
      </c>
      <c r="G299" s="15">
        <v>2.0299999999999999E-2</v>
      </c>
    </row>
    <row r="300" spans="1:7" x14ac:dyDescent="0.15">
      <c r="A300" s="86">
        <v>45818</v>
      </c>
      <c r="B300" s="18">
        <v>197000</v>
      </c>
      <c r="C300" s="14">
        <v>201000</v>
      </c>
      <c r="D300" s="14">
        <v>201500</v>
      </c>
      <c r="E300" s="14">
        <v>195800</v>
      </c>
      <c r="F300" t="s">
        <v>337</v>
      </c>
      <c r="G300" s="15">
        <v>-4.0000000000000001E-3</v>
      </c>
    </row>
    <row r="301" spans="1:7" x14ac:dyDescent="0.15">
      <c r="A301" s="86">
        <v>45817</v>
      </c>
      <c r="B301" s="18">
        <v>197800</v>
      </c>
      <c r="C301" s="14">
        <v>192900</v>
      </c>
      <c r="D301" s="14">
        <v>198400</v>
      </c>
      <c r="E301" s="14">
        <v>192300</v>
      </c>
      <c r="F301" t="s">
        <v>338</v>
      </c>
      <c r="G301" s="15">
        <v>4.3200000000000002E-2</v>
      </c>
    </row>
    <row r="302" spans="1:7" x14ac:dyDescent="0.15">
      <c r="A302" s="86">
        <v>45813</v>
      </c>
      <c r="B302" s="18">
        <v>189600</v>
      </c>
      <c r="C302" s="14">
        <v>186000</v>
      </c>
      <c r="D302" s="14">
        <v>193000</v>
      </c>
      <c r="E302" s="14">
        <v>186000</v>
      </c>
      <c r="F302" t="s">
        <v>339</v>
      </c>
      <c r="G302" s="15">
        <v>1.9400000000000001E-2</v>
      </c>
    </row>
    <row r="303" spans="1:7" x14ac:dyDescent="0.15">
      <c r="A303" s="86">
        <v>45812</v>
      </c>
      <c r="B303" s="18">
        <v>186000</v>
      </c>
      <c r="C303" s="14">
        <v>185100</v>
      </c>
      <c r="D303" s="14">
        <v>186500</v>
      </c>
      <c r="E303" s="14">
        <v>184100</v>
      </c>
      <c r="F303" t="s">
        <v>340</v>
      </c>
      <c r="G303" s="15">
        <v>1.09E-2</v>
      </c>
    </row>
    <row r="304" spans="1:7" x14ac:dyDescent="0.15">
      <c r="A304" s="86">
        <v>45810</v>
      </c>
      <c r="B304" s="18">
        <v>184000</v>
      </c>
      <c r="C304" s="14">
        <v>184600</v>
      </c>
      <c r="D304" s="14">
        <v>185500</v>
      </c>
      <c r="E304" s="14">
        <v>183100</v>
      </c>
      <c r="F304" t="s">
        <v>341</v>
      </c>
      <c r="G304" s="15">
        <v>-7.0000000000000001E-3</v>
      </c>
    </row>
    <row r="305" spans="1:7" x14ac:dyDescent="0.15">
      <c r="A305" s="86">
        <v>45807</v>
      </c>
      <c r="B305" s="18">
        <v>185300</v>
      </c>
      <c r="C305" s="14">
        <v>187400</v>
      </c>
      <c r="D305" s="14">
        <v>187500</v>
      </c>
      <c r="E305" s="14">
        <v>185300</v>
      </c>
      <c r="F305" t="s">
        <v>342</v>
      </c>
      <c r="G305" s="15">
        <v>-2.98E-2</v>
      </c>
    </row>
    <row r="306" spans="1:7" x14ac:dyDescent="0.15">
      <c r="A306" s="86">
        <v>45806</v>
      </c>
      <c r="B306" s="18">
        <v>191000</v>
      </c>
      <c r="C306" s="14">
        <v>189600</v>
      </c>
      <c r="D306" s="14">
        <v>193000</v>
      </c>
      <c r="E306" s="14">
        <v>186300</v>
      </c>
      <c r="F306" t="s">
        <v>155</v>
      </c>
      <c r="G306" s="15">
        <v>2.7400000000000001E-2</v>
      </c>
    </row>
    <row r="307" spans="1:7" x14ac:dyDescent="0.15">
      <c r="A307" s="86">
        <v>45805</v>
      </c>
      <c r="B307" s="18">
        <v>185900</v>
      </c>
      <c r="C307" s="14">
        <v>182400</v>
      </c>
      <c r="D307" s="14">
        <v>186300</v>
      </c>
      <c r="E307" s="14">
        <v>182400</v>
      </c>
      <c r="F307" t="s">
        <v>343</v>
      </c>
      <c r="G307" s="15">
        <v>2.1999999999999999E-2</v>
      </c>
    </row>
    <row r="308" spans="1:7" x14ac:dyDescent="0.15">
      <c r="A308" s="86">
        <v>45804</v>
      </c>
      <c r="B308" s="18">
        <v>181900</v>
      </c>
      <c r="C308" s="14">
        <v>180700</v>
      </c>
      <c r="D308" s="14">
        <v>181900</v>
      </c>
      <c r="E308" s="14">
        <v>180300</v>
      </c>
      <c r="F308" t="s">
        <v>344</v>
      </c>
      <c r="G308" s="15">
        <v>0</v>
      </c>
    </row>
    <row r="309" spans="1:7" x14ac:dyDescent="0.15">
      <c r="A309" s="86">
        <v>45803</v>
      </c>
      <c r="B309" s="18">
        <v>181900</v>
      </c>
      <c r="C309" s="14">
        <v>180100</v>
      </c>
      <c r="D309" s="14">
        <v>183000</v>
      </c>
      <c r="E309" s="14">
        <v>179700</v>
      </c>
      <c r="F309" t="s">
        <v>345</v>
      </c>
      <c r="G309" s="15">
        <v>1.11E-2</v>
      </c>
    </row>
    <row r="310" spans="1:7" x14ac:dyDescent="0.15">
      <c r="A310" s="86">
        <v>45800</v>
      </c>
      <c r="B310" s="18">
        <v>179900</v>
      </c>
      <c r="C310" s="14">
        <v>182400</v>
      </c>
      <c r="D310" s="14">
        <v>182500</v>
      </c>
      <c r="E310" s="14">
        <v>179300</v>
      </c>
      <c r="F310" t="s">
        <v>346</v>
      </c>
      <c r="G310" s="15">
        <v>-1.37E-2</v>
      </c>
    </row>
    <row r="311" spans="1:7" x14ac:dyDescent="0.15">
      <c r="A311" s="86">
        <v>45799</v>
      </c>
      <c r="B311" s="18">
        <v>182400</v>
      </c>
      <c r="C311" s="14">
        <v>187000</v>
      </c>
      <c r="D311" s="14">
        <v>187000</v>
      </c>
      <c r="E311" s="14">
        <v>181900</v>
      </c>
      <c r="F311" t="s">
        <v>347</v>
      </c>
      <c r="G311" s="15">
        <v>-2.98E-2</v>
      </c>
    </row>
    <row r="312" spans="1:7" x14ac:dyDescent="0.15">
      <c r="A312" s="86">
        <v>45798</v>
      </c>
      <c r="B312" s="18">
        <v>188000</v>
      </c>
      <c r="C312" s="14">
        <v>189500</v>
      </c>
      <c r="D312" s="14">
        <v>190350</v>
      </c>
      <c r="E312" s="14">
        <v>187400</v>
      </c>
      <c r="F312" t="s">
        <v>348</v>
      </c>
      <c r="G312" s="15">
        <v>-7.9000000000000008E-3</v>
      </c>
    </row>
    <row r="313" spans="1:7" x14ac:dyDescent="0.15">
      <c r="A313" s="86">
        <v>45797</v>
      </c>
      <c r="B313" s="18">
        <v>189500</v>
      </c>
      <c r="C313" s="14">
        <v>192800</v>
      </c>
      <c r="D313" s="14">
        <v>194100</v>
      </c>
      <c r="E313" s="14">
        <v>189500</v>
      </c>
      <c r="F313" t="s">
        <v>349</v>
      </c>
      <c r="G313" s="15">
        <v>-7.9000000000000008E-3</v>
      </c>
    </row>
    <row r="314" spans="1:7" x14ac:dyDescent="0.15">
      <c r="A314" s="86">
        <v>45796</v>
      </c>
      <c r="B314" s="18">
        <v>191000</v>
      </c>
      <c r="C314" s="14">
        <v>193000</v>
      </c>
      <c r="D314" s="14">
        <v>193000</v>
      </c>
      <c r="E314" s="14">
        <v>190000</v>
      </c>
      <c r="F314" t="s">
        <v>350</v>
      </c>
      <c r="G314" s="15">
        <v>-1.44E-2</v>
      </c>
    </row>
    <row r="315" spans="1:7" x14ac:dyDescent="0.15">
      <c r="A315" s="86">
        <v>45793</v>
      </c>
      <c r="B315" s="18">
        <v>193800</v>
      </c>
      <c r="C315" s="14">
        <v>193300</v>
      </c>
      <c r="D315" s="14">
        <v>194700</v>
      </c>
      <c r="E315" s="14">
        <v>193000</v>
      </c>
      <c r="F315" t="s">
        <v>351</v>
      </c>
      <c r="G315" s="15">
        <v>4.7000000000000002E-3</v>
      </c>
    </row>
    <row r="316" spans="1:7" x14ac:dyDescent="0.15">
      <c r="A316" s="86">
        <v>45792</v>
      </c>
      <c r="B316" s="18">
        <v>192900</v>
      </c>
      <c r="C316" s="14">
        <v>195200</v>
      </c>
      <c r="D316" s="14">
        <v>196900</v>
      </c>
      <c r="E316" s="14">
        <v>192200</v>
      </c>
      <c r="F316" t="s">
        <v>352</v>
      </c>
      <c r="G316" s="15">
        <v>-2.1299999999999999E-2</v>
      </c>
    </row>
    <row r="317" spans="1:7" x14ac:dyDescent="0.15">
      <c r="A317" s="86">
        <v>45791</v>
      </c>
      <c r="B317" s="18">
        <v>197100</v>
      </c>
      <c r="C317" s="14">
        <v>197200</v>
      </c>
      <c r="D317" s="14">
        <v>198300</v>
      </c>
      <c r="E317" s="14">
        <v>194300</v>
      </c>
      <c r="F317" t="s">
        <v>353</v>
      </c>
      <c r="G317" s="15">
        <v>2E-3</v>
      </c>
    </row>
    <row r="318" spans="1:7" x14ac:dyDescent="0.15">
      <c r="A318" s="86">
        <v>45790</v>
      </c>
      <c r="B318" s="18">
        <v>196700</v>
      </c>
      <c r="C318" s="14">
        <v>197400</v>
      </c>
      <c r="D318" s="14">
        <v>198000</v>
      </c>
      <c r="E318" s="14">
        <v>195100</v>
      </c>
      <c r="F318" t="s">
        <v>354</v>
      </c>
      <c r="G318" s="15">
        <v>4.5999999999999999E-3</v>
      </c>
    </row>
    <row r="319" spans="1:7" x14ac:dyDescent="0.15">
      <c r="A319" s="86">
        <v>45789</v>
      </c>
      <c r="B319" s="18">
        <v>195800</v>
      </c>
      <c r="C319" s="14">
        <v>191900</v>
      </c>
      <c r="D319" s="14">
        <v>195800</v>
      </c>
      <c r="E319" s="14">
        <v>191400</v>
      </c>
      <c r="F319" t="s">
        <v>355</v>
      </c>
      <c r="G319" s="15">
        <v>3.1099999999999999E-2</v>
      </c>
    </row>
    <row r="320" spans="1:7" x14ac:dyDescent="0.15">
      <c r="A320" s="86">
        <v>45786</v>
      </c>
      <c r="B320" s="18">
        <v>189900</v>
      </c>
      <c r="C320" s="14">
        <v>191200</v>
      </c>
      <c r="D320" s="14">
        <v>193400</v>
      </c>
      <c r="E320" s="14">
        <v>189500</v>
      </c>
      <c r="F320" t="s">
        <v>356</v>
      </c>
      <c r="G320" s="15">
        <v>1.4999999999999999E-2</v>
      </c>
    </row>
    <row r="321" spans="1:7" x14ac:dyDescent="0.15">
      <c r="A321" s="86">
        <v>45785</v>
      </c>
      <c r="B321" s="18">
        <v>187100</v>
      </c>
      <c r="C321" s="14">
        <v>187600</v>
      </c>
      <c r="D321" s="14">
        <v>188900</v>
      </c>
      <c r="E321" s="14">
        <v>187100</v>
      </c>
      <c r="F321" t="s">
        <v>357</v>
      </c>
      <c r="G321" s="15">
        <v>-2.7000000000000001E-3</v>
      </c>
    </row>
    <row r="322" spans="1:7" x14ac:dyDescent="0.15">
      <c r="A322" s="86">
        <v>45784</v>
      </c>
      <c r="B322" s="18">
        <v>187600</v>
      </c>
      <c r="C322" s="14">
        <v>191400</v>
      </c>
      <c r="D322" s="14">
        <v>191400</v>
      </c>
      <c r="E322" s="14">
        <v>186500</v>
      </c>
      <c r="F322" t="s">
        <v>358</v>
      </c>
      <c r="G322" s="15">
        <v>-9.4999999999999998E-3</v>
      </c>
    </row>
    <row r="323" spans="1:7" x14ac:dyDescent="0.15">
      <c r="A323" s="86">
        <v>45779</v>
      </c>
      <c r="B323" s="18">
        <v>189400</v>
      </c>
      <c r="C323" s="14">
        <v>190200</v>
      </c>
      <c r="D323" s="14">
        <v>190500</v>
      </c>
      <c r="E323" s="14">
        <v>188200</v>
      </c>
      <c r="F323" t="s">
        <v>359</v>
      </c>
      <c r="G323" s="15">
        <v>-6.3E-3</v>
      </c>
    </row>
    <row r="324" spans="1:7" x14ac:dyDescent="0.15">
      <c r="A324" s="86">
        <v>45777</v>
      </c>
      <c r="B324" s="18">
        <v>190600</v>
      </c>
      <c r="C324" s="14">
        <v>192700</v>
      </c>
      <c r="D324" s="14">
        <v>193300</v>
      </c>
      <c r="E324" s="14">
        <v>190200</v>
      </c>
      <c r="F324" t="s">
        <v>360</v>
      </c>
      <c r="G324" s="15">
        <v>-1.14E-2</v>
      </c>
    </row>
    <row r="325" spans="1:7" x14ac:dyDescent="0.15">
      <c r="A325" s="86">
        <v>45776</v>
      </c>
      <c r="B325" s="18">
        <v>192800</v>
      </c>
      <c r="C325" s="14">
        <v>192700</v>
      </c>
      <c r="D325" s="14">
        <v>194000</v>
      </c>
      <c r="E325" s="14">
        <v>189700</v>
      </c>
      <c r="F325" t="s">
        <v>361</v>
      </c>
      <c r="G325" s="15">
        <v>2.01E-2</v>
      </c>
    </row>
    <row r="326" spans="1:7" x14ac:dyDescent="0.15">
      <c r="A326" s="86">
        <v>45775</v>
      </c>
      <c r="B326" s="18">
        <v>189000</v>
      </c>
      <c r="C326" s="14">
        <v>188100</v>
      </c>
      <c r="D326" s="14">
        <v>190100</v>
      </c>
      <c r="E326" s="14">
        <v>187000</v>
      </c>
      <c r="F326" t="s">
        <v>362</v>
      </c>
      <c r="G326" s="15">
        <v>1.1000000000000001E-3</v>
      </c>
    </row>
    <row r="327" spans="1:7" x14ac:dyDescent="0.15">
      <c r="A327" s="86">
        <v>45772</v>
      </c>
      <c r="B327" s="18">
        <v>188800</v>
      </c>
      <c r="C327" s="14">
        <v>191000</v>
      </c>
      <c r="D327" s="14">
        <v>191000</v>
      </c>
      <c r="E327" s="14">
        <v>188600</v>
      </c>
      <c r="F327" t="s">
        <v>363</v>
      </c>
      <c r="G327" s="15">
        <v>-5.0000000000000001E-4</v>
      </c>
    </row>
    <row r="328" spans="1:7" x14ac:dyDescent="0.15">
      <c r="A328" s="86">
        <v>45771</v>
      </c>
      <c r="B328" s="18">
        <v>188900</v>
      </c>
      <c r="C328" s="14">
        <v>191100</v>
      </c>
      <c r="D328" s="14">
        <v>191200</v>
      </c>
      <c r="E328" s="14">
        <v>186500</v>
      </c>
      <c r="F328" t="s">
        <v>364</v>
      </c>
      <c r="G328" s="15">
        <v>-5.7999999999999996E-3</v>
      </c>
    </row>
    <row r="329" spans="1:7" x14ac:dyDescent="0.15">
      <c r="A329" s="86">
        <v>45770</v>
      </c>
      <c r="B329" s="18">
        <v>190000</v>
      </c>
      <c r="C329" s="14">
        <v>188900</v>
      </c>
      <c r="D329" s="14">
        <v>190400</v>
      </c>
      <c r="E329" s="14">
        <v>187400</v>
      </c>
      <c r="F329" t="s">
        <v>365</v>
      </c>
      <c r="G329" s="15">
        <v>2.3699999999999999E-2</v>
      </c>
    </row>
    <row r="330" spans="1:7" x14ac:dyDescent="0.15">
      <c r="A330" s="86">
        <v>45769</v>
      </c>
      <c r="B330" s="18">
        <v>185600</v>
      </c>
      <c r="C330" s="14">
        <v>186100</v>
      </c>
      <c r="D330" s="14">
        <v>187700</v>
      </c>
      <c r="E330" s="14">
        <v>185200</v>
      </c>
      <c r="F330" t="s">
        <v>366</v>
      </c>
      <c r="G330" s="15">
        <v>-9.1000000000000004E-3</v>
      </c>
    </row>
    <row r="331" spans="1:7" x14ac:dyDescent="0.15">
      <c r="A331" s="86">
        <v>45768</v>
      </c>
      <c r="B331" s="18">
        <v>187300</v>
      </c>
      <c r="C331" s="14">
        <v>187500</v>
      </c>
      <c r="D331" s="14">
        <v>188800</v>
      </c>
      <c r="E331" s="14">
        <v>185500</v>
      </c>
      <c r="F331" t="s">
        <v>367</v>
      </c>
      <c r="G331" s="15">
        <v>5.0000000000000001E-4</v>
      </c>
    </row>
    <row r="332" spans="1:7" x14ac:dyDescent="0.15">
      <c r="A332" s="86">
        <v>45765</v>
      </c>
      <c r="B332" s="18">
        <v>187200</v>
      </c>
      <c r="C332" s="14">
        <v>182800</v>
      </c>
      <c r="D332" s="14">
        <v>188300</v>
      </c>
      <c r="E332" s="14">
        <v>181200</v>
      </c>
      <c r="F332" t="s">
        <v>368</v>
      </c>
      <c r="G332" s="15">
        <v>3.0300000000000001E-2</v>
      </c>
    </row>
    <row r="333" spans="1:7" x14ac:dyDescent="0.15">
      <c r="A333" s="86">
        <v>45764</v>
      </c>
      <c r="B333" s="18">
        <v>181700</v>
      </c>
      <c r="C333" s="14">
        <v>182600</v>
      </c>
      <c r="D333" s="14">
        <v>184600</v>
      </c>
      <c r="E333" s="14">
        <v>181500</v>
      </c>
      <c r="F333" t="s">
        <v>369</v>
      </c>
      <c r="G333" s="15">
        <v>0</v>
      </c>
    </row>
    <row r="334" spans="1:7" x14ac:dyDescent="0.15">
      <c r="A334" s="86">
        <v>45763</v>
      </c>
      <c r="B334" s="18">
        <v>181700</v>
      </c>
      <c r="C334" s="14">
        <v>185200</v>
      </c>
      <c r="D334" s="14">
        <v>186400</v>
      </c>
      <c r="E334" s="14">
        <v>181300</v>
      </c>
      <c r="F334" t="s">
        <v>370</v>
      </c>
      <c r="G334" s="15">
        <v>-2.8299999999999999E-2</v>
      </c>
    </row>
    <row r="335" spans="1:7" x14ac:dyDescent="0.15">
      <c r="A335" s="86">
        <v>45762</v>
      </c>
      <c r="B335" s="18">
        <v>187000</v>
      </c>
      <c r="C335" s="14">
        <v>185400</v>
      </c>
      <c r="D335" s="14">
        <v>189200</v>
      </c>
      <c r="E335" s="14">
        <v>183700</v>
      </c>
      <c r="F335" t="s">
        <v>123</v>
      </c>
      <c r="G335" s="15">
        <v>4.2900000000000001E-2</v>
      </c>
    </row>
    <row r="336" spans="1:7" x14ac:dyDescent="0.15">
      <c r="A336" s="86">
        <v>45761</v>
      </c>
      <c r="B336" s="18">
        <v>179300</v>
      </c>
      <c r="C336" s="14">
        <v>178400</v>
      </c>
      <c r="D336" s="14">
        <v>180300</v>
      </c>
      <c r="E336" s="14">
        <v>177500</v>
      </c>
      <c r="F336" t="s">
        <v>371</v>
      </c>
      <c r="G336" s="15">
        <v>1.01E-2</v>
      </c>
    </row>
    <row r="337" spans="1:7" x14ac:dyDescent="0.15">
      <c r="A337" s="86">
        <v>45758</v>
      </c>
      <c r="B337" s="18">
        <v>177500</v>
      </c>
      <c r="C337" s="14">
        <v>181800</v>
      </c>
      <c r="D337" s="14">
        <v>183000</v>
      </c>
      <c r="E337" s="14">
        <v>175800</v>
      </c>
      <c r="F337" t="s">
        <v>195</v>
      </c>
      <c r="G337" s="15">
        <v>-5.0799999999999998E-2</v>
      </c>
    </row>
    <row r="338" spans="1:7" x14ac:dyDescent="0.15">
      <c r="A338" s="86">
        <v>45757</v>
      </c>
      <c r="B338" s="18">
        <v>187000</v>
      </c>
      <c r="C338" s="14">
        <v>191700</v>
      </c>
      <c r="D338" s="14">
        <v>192900</v>
      </c>
      <c r="E338" s="14">
        <v>186500</v>
      </c>
      <c r="F338" t="s">
        <v>372</v>
      </c>
      <c r="G338" s="15">
        <v>5.0599999999999999E-2</v>
      </c>
    </row>
    <row r="339" spans="1:7" x14ac:dyDescent="0.15">
      <c r="A339" s="86">
        <v>45756</v>
      </c>
      <c r="B339" s="18">
        <v>178000</v>
      </c>
      <c r="C339" s="14">
        <v>177500</v>
      </c>
      <c r="D339" s="14">
        <v>180900</v>
      </c>
      <c r="E339" s="14">
        <v>177300</v>
      </c>
      <c r="F339" t="s">
        <v>373</v>
      </c>
      <c r="G339" s="15">
        <v>-6.7000000000000002E-3</v>
      </c>
    </row>
    <row r="340" spans="1:7" x14ac:dyDescent="0.15">
      <c r="A340" s="86">
        <v>45755</v>
      </c>
      <c r="B340" s="18">
        <v>179200</v>
      </c>
      <c r="C340" s="14">
        <v>181400</v>
      </c>
      <c r="D340" s="14">
        <v>183800</v>
      </c>
      <c r="E340" s="14">
        <v>177500</v>
      </c>
      <c r="F340" t="s">
        <v>123</v>
      </c>
      <c r="G340" s="15">
        <v>5.9999999999999995E-4</v>
      </c>
    </row>
    <row r="341" spans="1:7" x14ac:dyDescent="0.15">
      <c r="A341" s="86">
        <v>45754</v>
      </c>
      <c r="B341" s="18">
        <v>179100</v>
      </c>
      <c r="C341" s="14">
        <v>184700</v>
      </c>
      <c r="D341" s="14">
        <v>185300</v>
      </c>
      <c r="E341" s="14">
        <v>178900</v>
      </c>
      <c r="F341" t="s">
        <v>116</v>
      </c>
      <c r="G341" s="15">
        <v>-6.6199999999999995E-2</v>
      </c>
    </row>
    <row r="342" spans="1:7" x14ac:dyDescent="0.15">
      <c r="A342" s="86">
        <v>45751</v>
      </c>
      <c r="B342" s="18">
        <v>191800</v>
      </c>
      <c r="C342" s="14">
        <v>191300</v>
      </c>
      <c r="D342" s="14">
        <v>196500</v>
      </c>
      <c r="E342" s="14">
        <v>189600</v>
      </c>
      <c r="F342" t="s">
        <v>374</v>
      </c>
      <c r="G342" s="15">
        <v>-1.03E-2</v>
      </c>
    </row>
    <row r="343" spans="1:7" x14ac:dyDescent="0.15">
      <c r="A343" s="86">
        <v>45750</v>
      </c>
      <c r="B343" s="18">
        <v>193800</v>
      </c>
      <c r="C343" s="14">
        <v>191000</v>
      </c>
      <c r="D343" s="14">
        <v>194500</v>
      </c>
      <c r="E343" s="14">
        <v>189100</v>
      </c>
      <c r="F343" t="s">
        <v>375</v>
      </c>
      <c r="G343" s="15">
        <v>-1.2699999999999999E-2</v>
      </c>
    </row>
    <row r="344" spans="1:7" x14ac:dyDescent="0.15">
      <c r="A344" s="86">
        <v>45749</v>
      </c>
      <c r="B344" s="18">
        <v>196300</v>
      </c>
      <c r="C344" s="14">
        <v>198800</v>
      </c>
      <c r="D344" s="14">
        <v>199100</v>
      </c>
      <c r="E344" s="14">
        <v>195800</v>
      </c>
      <c r="F344" t="s">
        <v>376</v>
      </c>
      <c r="G344" s="15">
        <v>-1.1599999999999999E-2</v>
      </c>
    </row>
    <row r="345" spans="1:7" x14ac:dyDescent="0.15">
      <c r="A345" s="86">
        <v>45748</v>
      </c>
      <c r="B345" s="18">
        <v>198600</v>
      </c>
      <c r="C345" s="14">
        <v>199000</v>
      </c>
      <c r="D345" s="14">
        <v>200500</v>
      </c>
      <c r="E345" s="14">
        <v>196100</v>
      </c>
      <c r="F345" t="s">
        <v>377</v>
      </c>
      <c r="G345" s="15">
        <v>7.1000000000000004E-3</v>
      </c>
    </row>
    <row r="346" spans="1:7" x14ac:dyDescent="0.15">
      <c r="A346" s="86">
        <v>45747</v>
      </c>
      <c r="B346" s="18">
        <v>197200</v>
      </c>
      <c r="C346" s="14">
        <v>199900</v>
      </c>
      <c r="D346" s="14">
        <v>201000</v>
      </c>
      <c r="E346" s="14">
        <v>196800</v>
      </c>
      <c r="F346" t="s">
        <v>378</v>
      </c>
      <c r="G346" s="15">
        <v>-3.7999999999999999E-2</v>
      </c>
    </row>
    <row r="347" spans="1:7" x14ac:dyDescent="0.15">
      <c r="A347" s="86">
        <v>45744</v>
      </c>
      <c r="B347" s="18">
        <v>205000</v>
      </c>
      <c r="C347" s="14">
        <v>208000</v>
      </c>
      <c r="D347" s="14">
        <v>209500</v>
      </c>
      <c r="E347" s="14">
        <v>202500</v>
      </c>
      <c r="F347" t="s">
        <v>379</v>
      </c>
      <c r="G347" s="15">
        <v>-3.5299999999999998E-2</v>
      </c>
    </row>
    <row r="348" spans="1:7" x14ac:dyDescent="0.15">
      <c r="A348" s="86">
        <v>45743</v>
      </c>
      <c r="B348" s="18">
        <v>212500</v>
      </c>
      <c r="C348" s="14">
        <v>215000</v>
      </c>
      <c r="D348" s="14">
        <v>216500</v>
      </c>
      <c r="E348" s="14">
        <v>212000</v>
      </c>
      <c r="F348" t="s">
        <v>380</v>
      </c>
      <c r="G348" s="15">
        <v>-4.2799999999999998E-2</v>
      </c>
    </row>
    <row r="349" spans="1:7" x14ac:dyDescent="0.15">
      <c r="A349" s="86">
        <v>45742</v>
      </c>
      <c r="B349" s="18">
        <v>222000</v>
      </c>
      <c r="C349" s="14">
        <v>224000</v>
      </c>
      <c r="D349" s="14">
        <v>227500</v>
      </c>
      <c r="E349" s="14">
        <v>220500</v>
      </c>
      <c r="F349" t="s">
        <v>381</v>
      </c>
      <c r="G349" s="15">
        <v>9.1000000000000004E-3</v>
      </c>
    </row>
    <row r="350" spans="1:7" x14ac:dyDescent="0.15">
      <c r="A350" s="86">
        <v>45741</v>
      </c>
      <c r="B350" s="18">
        <v>220000</v>
      </c>
      <c r="C350" s="14">
        <v>228500</v>
      </c>
      <c r="D350" s="14">
        <v>229000</v>
      </c>
      <c r="E350" s="14">
        <v>218500</v>
      </c>
      <c r="F350" t="s">
        <v>382</v>
      </c>
      <c r="G350" s="15">
        <v>3.2899999999999999E-2</v>
      </c>
    </row>
    <row r="351" spans="1:7" x14ac:dyDescent="0.15">
      <c r="A351" s="86">
        <v>45740</v>
      </c>
      <c r="B351" s="18">
        <v>213000</v>
      </c>
      <c r="C351" s="14">
        <v>204500</v>
      </c>
      <c r="D351" s="14">
        <v>216000</v>
      </c>
      <c r="E351" s="14">
        <v>203500</v>
      </c>
      <c r="F351" t="s">
        <v>223</v>
      </c>
      <c r="G351" s="15">
        <v>3.9E-2</v>
      </c>
    </row>
    <row r="352" spans="1:7" x14ac:dyDescent="0.15">
      <c r="A352" s="86">
        <v>45737</v>
      </c>
      <c r="B352" s="18">
        <v>205000</v>
      </c>
      <c r="C352" s="14">
        <v>201500</v>
      </c>
      <c r="D352" s="14">
        <v>205000</v>
      </c>
      <c r="E352" s="14">
        <v>201000</v>
      </c>
      <c r="F352" t="s">
        <v>383</v>
      </c>
      <c r="G352" s="15">
        <v>1.23E-2</v>
      </c>
    </row>
    <row r="353" spans="1:7" x14ac:dyDescent="0.15">
      <c r="A353" s="86">
        <v>45736</v>
      </c>
      <c r="B353" s="18">
        <v>202500</v>
      </c>
      <c r="C353" s="14">
        <v>204500</v>
      </c>
      <c r="D353" s="14">
        <v>205000</v>
      </c>
      <c r="E353" s="14">
        <v>201500</v>
      </c>
      <c r="F353" t="s">
        <v>384</v>
      </c>
      <c r="G353" s="15">
        <v>-7.4000000000000003E-3</v>
      </c>
    </row>
    <row r="354" spans="1:7" x14ac:dyDescent="0.15">
      <c r="A354" s="86">
        <v>45735</v>
      </c>
      <c r="B354" s="18">
        <v>204000</v>
      </c>
      <c r="C354" s="14">
        <v>201000</v>
      </c>
      <c r="D354" s="14">
        <v>204000</v>
      </c>
      <c r="E354" s="14">
        <v>199000</v>
      </c>
      <c r="F354" t="s">
        <v>385</v>
      </c>
      <c r="G354" s="15">
        <v>1.7500000000000002E-2</v>
      </c>
    </row>
    <row r="355" spans="1:7" x14ac:dyDescent="0.15">
      <c r="A355" s="86">
        <v>45734</v>
      </c>
      <c r="B355" s="18">
        <v>200500</v>
      </c>
      <c r="C355" s="14">
        <v>199500</v>
      </c>
      <c r="D355" s="14">
        <v>202000</v>
      </c>
      <c r="E355" s="14">
        <v>199300</v>
      </c>
      <c r="F355" t="s">
        <v>386</v>
      </c>
      <c r="G355" s="15">
        <v>7.4999999999999997E-3</v>
      </c>
    </row>
    <row r="356" spans="1:7" x14ac:dyDescent="0.15">
      <c r="A356" s="86">
        <v>45733</v>
      </c>
      <c r="B356" s="18">
        <v>199000</v>
      </c>
      <c r="C356" s="14">
        <v>198400</v>
      </c>
      <c r="D356" s="14">
        <v>199000</v>
      </c>
      <c r="E356" s="14">
        <v>195300</v>
      </c>
      <c r="F356" t="s">
        <v>387</v>
      </c>
      <c r="G356" s="15">
        <v>2.5000000000000001E-3</v>
      </c>
    </row>
    <row r="357" spans="1:7" x14ac:dyDescent="0.15">
      <c r="A357" s="86">
        <v>45730</v>
      </c>
      <c r="B357" s="18">
        <v>198500</v>
      </c>
      <c r="C357" s="14">
        <v>199800</v>
      </c>
      <c r="D357" s="14">
        <v>200500</v>
      </c>
      <c r="E357" s="14">
        <v>197500</v>
      </c>
      <c r="F357" t="s">
        <v>388</v>
      </c>
      <c r="G357" s="15">
        <v>-1.24E-2</v>
      </c>
    </row>
    <row r="358" spans="1:7" x14ac:dyDescent="0.15">
      <c r="A358" s="86">
        <v>45729</v>
      </c>
      <c r="B358" s="18">
        <v>201000</v>
      </c>
      <c r="C358" s="14">
        <v>199300</v>
      </c>
      <c r="D358" s="14">
        <v>201000</v>
      </c>
      <c r="E358" s="14">
        <v>196200</v>
      </c>
      <c r="F358" t="s">
        <v>389</v>
      </c>
      <c r="G358" s="15">
        <v>1.41E-2</v>
      </c>
    </row>
    <row r="359" spans="1:7" x14ac:dyDescent="0.15">
      <c r="A359" s="86">
        <v>45728</v>
      </c>
      <c r="B359" s="18">
        <v>198200</v>
      </c>
      <c r="C359" s="14">
        <v>195800</v>
      </c>
      <c r="D359" s="14">
        <v>198200</v>
      </c>
      <c r="E359" s="14">
        <v>195000</v>
      </c>
      <c r="F359" t="s">
        <v>390</v>
      </c>
      <c r="G359" s="15">
        <v>1.3299999999999999E-2</v>
      </c>
    </row>
    <row r="360" spans="1:7" x14ac:dyDescent="0.15">
      <c r="A360" s="86">
        <v>45727</v>
      </c>
      <c r="B360" s="18">
        <v>195600</v>
      </c>
      <c r="C360" s="14">
        <v>194500</v>
      </c>
      <c r="D360" s="14">
        <v>196000</v>
      </c>
      <c r="E360" s="14">
        <v>192700</v>
      </c>
      <c r="F360" t="s">
        <v>391</v>
      </c>
      <c r="G360" s="15">
        <v>-9.1000000000000004E-3</v>
      </c>
    </row>
    <row r="361" spans="1:7" x14ac:dyDescent="0.15">
      <c r="A361" s="86">
        <v>45726</v>
      </c>
      <c r="B361" s="18">
        <v>197400</v>
      </c>
      <c r="C361" s="14">
        <v>196600</v>
      </c>
      <c r="D361" s="14">
        <v>198600</v>
      </c>
      <c r="E361" s="14">
        <v>195200</v>
      </c>
      <c r="F361" t="s">
        <v>392</v>
      </c>
      <c r="G361" s="15">
        <v>4.1000000000000003E-3</v>
      </c>
    </row>
    <row r="362" spans="1:7" x14ac:dyDescent="0.15">
      <c r="A362" s="86">
        <v>45723</v>
      </c>
      <c r="B362" s="18">
        <v>196600</v>
      </c>
      <c r="C362" s="14">
        <v>194800</v>
      </c>
      <c r="D362" s="14">
        <v>197200</v>
      </c>
      <c r="E362" s="14">
        <v>194100</v>
      </c>
      <c r="F362" t="s">
        <v>393</v>
      </c>
      <c r="G362" s="15">
        <v>-5.1000000000000004E-3</v>
      </c>
    </row>
    <row r="363" spans="1:7" x14ac:dyDescent="0.15">
      <c r="A363" s="86">
        <v>45722</v>
      </c>
      <c r="B363" s="18">
        <v>197600</v>
      </c>
      <c r="C363" s="14">
        <v>199200</v>
      </c>
      <c r="D363" s="14">
        <v>201000</v>
      </c>
      <c r="E363" s="14">
        <v>196500</v>
      </c>
      <c r="F363" t="s">
        <v>394</v>
      </c>
      <c r="G363" s="15">
        <v>1.49E-2</v>
      </c>
    </row>
    <row r="364" spans="1:7" x14ac:dyDescent="0.15">
      <c r="A364" s="86">
        <v>45721</v>
      </c>
      <c r="B364" s="18">
        <v>194700</v>
      </c>
      <c r="C364" s="14">
        <v>191800</v>
      </c>
      <c r="D364" s="14">
        <v>197000</v>
      </c>
      <c r="E364" s="14">
        <v>191800</v>
      </c>
      <c r="F364" t="s">
        <v>395</v>
      </c>
      <c r="G364" s="15">
        <v>2.3099999999999999E-2</v>
      </c>
    </row>
    <row r="365" spans="1:7" x14ac:dyDescent="0.15">
      <c r="A365" s="86">
        <v>45720</v>
      </c>
      <c r="B365" s="18">
        <v>190300</v>
      </c>
      <c r="C365" s="14">
        <v>190000</v>
      </c>
      <c r="D365" s="14">
        <v>195100</v>
      </c>
      <c r="E365" s="14">
        <v>189200</v>
      </c>
      <c r="F365" t="s">
        <v>396</v>
      </c>
      <c r="G365" s="15">
        <v>-1.4E-2</v>
      </c>
    </row>
    <row r="366" spans="1:7" x14ac:dyDescent="0.15">
      <c r="A366" s="86">
        <v>45716</v>
      </c>
      <c r="B366" s="18">
        <v>193000</v>
      </c>
      <c r="C366" s="14">
        <v>198600</v>
      </c>
      <c r="D366" s="14">
        <v>198800</v>
      </c>
      <c r="E366" s="14">
        <v>193000</v>
      </c>
      <c r="F366" t="s">
        <v>150</v>
      </c>
      <c r="G366" s="15">
        <v>-3.7400000000000003E-2</v>
      </c>
    </row>
    <row r="367" spans="1:7" x14ac:dyDescent="0.15">
      <c r="A367" s="86">
        <v>45715</v>
      </c>
      <c r="B367" s="18">
        <v>200500</v>
      </c>
      <c r="C367" s="14">
        <v>200500</v>
      </c>
      <c r="D367" s="14">
        <v>201000</v>
      </c>
      <c r="E367" s="14">
        <v>199300</v>
      </c>
      <c r="F367" t="s">
        <v>397</v>
      </c>
      <c r="G367" s="15">
        <v>-2.1999999999999999E-2</v>
      </c>
    </row>
    <row r="368" spans="1:7" x14ac:dyDescent="0.15">
      <c r="A368" s="86">
        <v>45714</v>
      </c>
      <c r="B368" s="18">
        <v>205000</v>
      </c>
      <c r="C368" s="14">
        <v>203500</v>
      </c>
      <c r="D368" s="14">
        <v>207000</v>
      </c>
      <c r="E368" s="14">
        <v>203000</v>
      </c>
      <c r="F368" t="s">
        <v>398</v>
      </c>
      <c r="G368" s="15">
        <v>1.23E-2</v>
      </c>
    </row>
    <row r="369" spans="1:7" x14ac:dyDescent="0.15">
      <c r="A369" s="86">
        <v>45713</v>
      </c>
      <c r="B369" s="18">
        <v>202500</v>
      </c>
      <c r="C369" s="14">
        <v>205000</v>
      </c>
      <c r="D369" s="14">
        <v>205000</v>
      </c>
      <c r="E369" s="14">
        <v>202000</v>
      </c>
      <c r="F369" t="s">
        <v>399</v>
      </c>
      <c r="G369" s="15">
        <v>-2.1700000000000001E-2</v>
      </c>
    </row>
    <row r="370" spans="1:7" x14ac:dyDescent="0.15">
      <c r="A370" s="86">
        <v>45712</v>
      </c>
      <c r="B370" s="18">
        <v>207000</v>
      </c>
      <c r="C370" s="14">
        <v>204000</v>
      </c>
      <c r="D370" s="14">
        <v>207000</v>
      </c>
      <c r="E370" s="14">
        <v>203500</v>
      </c>
      <c r="F370" t="s">
        <v>400</v>
      </c>
      <c r="G370" s="15">
        <v>4.8999999999999998E-3</v>
      </c>
    </row>
    <row r="371" spans="1:7" x14ac:dyDescent="0.15">
      <c r="A371" s="86">
        <v>45709</v>
      </c>
      <c r="B371" s="18">
        <v>206000</v>
      </c>
      <c r="C371" s="14">
        <v>209000</v>
      </c>
      <c r="D371" s="14">
        <v>211000</v>
      </c>
      <c r="E371" s="14">
        <v>204000</v>
      </c>
      <c r="F371" t="s">
        <v>401</v>
      </c>
      <c r="G371" s="15">
        <v>1.4800000000000001E-2</v>
      </c>
    </row>
    <row r="372" spans="1:7" x14ac:dyDescent="0.15">
      <c r="A372" s="86">
        <v>45708</v>
      </c>
      <c r="B372" s="18">
        <v>203000</v>
      </c>
      <c r="C372" s="14">
        <v>202500</v>
      </c>
      <c r="D372" s="14">
        <v>204000</v>
      </c>
      <c r="E372" s="14">
        <v>201500</v>
      </c>
      <c r="F372" t="s">
        <v>402</v>
      </c>
      <c r="G372" s="15">
        <v>-4.8999999999999998E-3</v>
      </c>
    </row>
    <row r="373" spans="1:7" x14ac:dyDescent="0.15">
      <c r="A373" s="86">
        <v>45707</v>
      </c>
      <c r="B373" s="18">
        <v>204000</v>
      </c>
      <c r="C373" s="14">
        <v>198900</v>
      </c>
      <c r="D373" s="14">
        <v>204500</v>
      </c>
      <c r="E373" s="14">
        <v>198800</v>
      </c>
      <c r="F373" t="s">
        <v>403</v>
      </c>
      <c r="G373" s="15">
        <v>1.7500000000000002E-2</v>
      </c>
    </row>
    <row r="374" spans="1:7" x14ac:dyDescent="0.15">
      <c r="A374" s="86">
        <v>45706</v>
      </c>
      <c r="B374" s="18">
        <v>200500</v>
      </c>
      <c r="C374" s="14">
        <v>200000</v>
      </c>
      <c r="D374" s="14">
        <v>201500</v>
      </c>
      <c r="E374" s="14">
        <v>198900</v>
      </c>
      <c r="F374" t="s">
        <v>353</v>
      </c>
      <c r="G374" s="15">
        <v>3.5000000000000001E-3</v>
      </c>
    </row>
    <row r="375" spans="1:7" x14ac:dyDescent="0.15">
      <c r="A375" s="86">
        <v>45705</v>
      </c>
      <c r="B375" s="18">
        <v>199800</v>
      </c>
      <c r="C375" s="14">
        <v>201000</v>
      </c>
      <c r="D375" s="14">
        <v>202500</v>
      </c>
      <c r="E375" s="14">
        <v>199500</v>
      </c>
      <c r="F375" t="s">
        <v>404</v>
      </c>
      <c r="G375" s="15">
        <v>-3.0099999999999998E-2</v>
      </c>
    </row>
    <row r="376" spans="1:7" x14ac:dyDescent="0.15">
      <c r="A376" s="86">
        <v>45702</v>
      </c>
      <c r="B376" s="18">
        <v>206000</v>
      </c>
      <c r="C376" s="14">
        <v>208000</v>
      </c>
      <c r="D376" s="14">
        <v>210000</v>
      </c>
      <c r="E376" s="14">
        <v>205500</v>
      </c>
      <c r="F376" t="s">
        <v>405</v>
      </c>
      <c r="G376" s="15">
        <v>-1.2E-2</v>
      </c>
    </row>
    <row r="377" spans="1:7" x14ac:dyDescent="0.15">
      <c r="A377" s="86">
        <v>45701</v>
      </c>
      <c r="B377" s="18">
        <v>208500</v>
      </c>
      <c r="C377" s="14">
        <v>202500</v>
      </c>
      <c r="D377" s="14">
        <v>210000</v>
      </c>
      <c r="E377" s="14">
        <v>202000</v>
      </c>
      <c r="F377" t="s">
        <v>406</v>
      </c>
      <c r="G377" s="15">
        <v>5.2499999999999998E-2</v>
      </c>
    </row>
    <row r="378" spans="1:7" x14ac:dyDescent="0.15">
      <c r="A378" s="86">
        <v>45700</v>
      </c>
      <c r="B378" s="18">
        <v>198100</v>
      </c>
      <c r="C378" s="14">
        <v>199000</v>
      </c>
      <c r="D378" s="14">
        <v>200500</v>
      </c>
      <c r="E378" s="14">
        <v>198100</v>
      </c>
      <c r="F378" t="s">
        <v>407</v>
      </c>
      <c r="G378" s="15">
        <v>-6.4999999999999997E-3</v>
      </c>
    </row>
    <row r="379" spans="1:7" x14ac:dyDescent="0.15">
      <c r="A379" s="86">
        <v>45699</v>
      </c>
      <c r="B379" s="18">
        <v>199400</v>
      </c>
      <c r="C379" s="14">
        <v>199500</v>
      </c>
      <c r="D379" s="14">
        <v>202500</v>
      </c>
      <c r="E379" s="14">
        <v>198500</v>
      </c>
      <c r="F379" t="s">
        <v>408</v>
      </c>
      <c r="G379" s="15">
        <v>0</v>
      </c>
    </row>
    <row r="380" spans="1:7" x14ac:dyDescent="0.15">
      <c r="A380" s="86">
        <v>45698</v>
      </c>
      <c r="B380" s="18">
        <v>199400</v>
      </c>
      <c r="C380" s="14">
        <v>199500</v>
      </c>
      <c r="D380" s="14">
        <v>201000</v>
      </c>
      <c r="E380" s="14">
        <v>197700</v>
      </c>
      <c r="F380" t="s">
        <v>409</v>
      </c>
      <c r="G380" s="15">
        <v>-5.4999999999999997E-3</v>
      </c>
    </row>
    <row r="381" spans="1:7" x14ac:dyDescent="0.15">
      <c r="A381" s="86">
        <v>45695</v>
      </c>
      <c r="B381" s="18">
        <v>200500</v>
      </c>
      <c r="C381" s="14">
        <v>203500</v>
      </c>
      <c r="D381" s="14">
        <v>204500</v>
      </c>
      <c r="E381" s="14">
        <v>200000</v>
      </c>
      <c r="F381" t="s">
        <v>410</v>
      </c>
      <c r="G381" s="15">
        <v>-1.47E-2</v>
      </c>
    </row>
    <row r="382" spans="1:7" x14ac:dyDescent="0.15">
      <c r="A382" s="86">
        <v>45694</v>
      </c>
      <c r="B382" s="18">
        <v>203500</v>
      </c>
      <c r="C382" s="14">
        <v>206000</v>
      </c>
      <c r="D382" s="14">
        <v>207000</v>
      </c>
      <c r="E382" s="14">
        <v>203000</v>
      </c>
      <c r="F382" t="s">
        <v>411</v>
      </c>
      <c r="G382" s="15">
        <v>-4.8999999999999998E-3</v>
      </c>
    </row>
    <row r="383" spans="1:7" x14ac:dyDescent="0.15">
      <c r="A383" s="86">
        <v>45693</v>
      </c>
      <c r="B383" s="18">
        <v>204500</v>
      </c>
      <c r="C383" s="14">
        <v>201500</v>
      </c>
      <c r="D383" s="14">
        <v>206500</v>
      </c>
      <c r="E383" s="14">
        <v>201000</v>
      </c>
      <c r="F383" t="s">
        <v>412</v>
      </c>
      <c r="G383" s="15">
        <v>1.7399999999999999E-2</v>
      </c>
    </row>
    <row r="384" spans="1:7" x14ac:dyDescent="0.15">
      <c r="A384" s="86">
        <v>45692</v>
      </c>
      <c r="B384" s="18">
        <v>201000</v>
      </c>
      <c r="C384" s="14">
        <v>205000</v>
      </c>
      <c r="D384" s="14">
        <v>208500</v>
      </c>
      <c r="E384" s="14">
        <v>201000</v>
      </c>
      <c r="F384" t="s">
        <v>413</v>
      </c>
      <c r="G384" s="15">
        <v>-5.0000000000000001E-3</v>
      </c>
    </row>
    <row r="385" spans="1:7" x14ac:dyDescent="0.15">
      <c r="A385" s="86">
        <v>45691</v>
      </c>
      <c r="B385" s="18">
        <v>202000</v>
      </c>
      <c r="C385" s="14">
        <v>201000</v>
      </c>
      <c r="D385" s="14">
        <v>203500</v>
      </c>
      <c r="E385" s="14">
        <v>200000</v>
      </c>
      <c r="F385" t="s">
        <v>414</v>
      </c>
      <c r="G385" s="15">
        <v>-1.9400000000000001E-2</v>
      </c>
    </row>
    <row r="386" spans="1:7" x14ac:dyDescent="0.15">
      <c r="A386" s="86">
        <v>45688</v>
      </c>
      <c r="B386" s="18">
        <v>206000</v>
      </c>
      <c r="C386" s="14">
        <v>204500</v>
      </c>
      <c r="D386" s="14">
        <v>207500</v>
      </c>
      <c r="E386" s="14">
        <v>200000</v>
      </c>
      <c r="F386" t="s">
        <v>415</v>
      </c>
      <c r="G386" s="15">
        <v>4.8999999999999998E-3</v>
      </c>
    </row>
    <row r="387" spans="1:7" x14ac:dyDescent="0.15">
      <c r="A387" s="86">
        <v>45681</v>
      </c>
      <c r="B387" s="18">
        <v>205000</v>
      </c>
      <c r="C387" s="14">
        <v>208000</v>
      </c>
      <c r="D387" s="14">
        <v>208500</v>
      </c>
      <c r="E387" s="14">
        <v>203000</v>
      </c>
      <c r="F387" t="s">
        <v>416</v>
      </c>
      <c r="G387" s="15">
        <v>-1.9099999999999999E-2</v>
      </c>
    </row>
    <row r="388" spans="1:7" x14ac:dyDescent="0.15">
      <c r="A388" s="86">
        <v>45680</v>
      </c>
      <c r="B388" s="18">
        <v>209000</v>
      </c>
      <c r="C388" s="14">
        <v>208000</v>
      </c>
      <c r="D388" s="14">
        <v>213500</v>
      </c>
      <c r="E388" s="14">
        <v>205500</v>
      </c>
      <c r="F388" t="s">
        <v>380</v>
      </c>
      <c r="G388" s="15">
        <v>2.3999999999999998E-3</v>
      </c>
    </row>
    <row r="389" spans="1:7" x14ac:dyDescent="0.15">
      <c r="A389" s="86">
        <v>45679</v>
      </c>
      <c r="B389" s="18">
        <v>208500</v>
      </c>
      <c r="C389" s="14">
        <v>207500</v>
      </c>
      <c r="D389" s="14">
        <v>210000</v>
      </c>
      <c r="E389" s="14">
        <v>206500</v>
      </c>
      <c r="F389" t="s">
        <v>417</v>
      </c>
      <c r="G389" s="15">
        <v>9.7000000000000003E-3</v>
      </c>
    </row>
    <row r="390" spans="1:7" x14ac:dyDescent="0.15">
      <c r="A390" s="86">
        <v>45678</v>
      </c>
      <c r="B390" s="18">
        <v>206500</v>
      </c>
      <c r="C390" s="14">
        <v>210500</v>
      </c>
      <c r="D390" s="14">
        <v>213000</v>
      </c>
      <c r="E390" s="14">
        <v>206500</v>
      </c>
      <c r="F390" t="s">
        <v>418</v>
      </c>
      <c r="G390" s="15">
        <v>-9.5999999999999992E-3</v>
      </c>
    </row>
    <row r="391" spans="1:7" x14ac:dyDescent="0.15">
      <c r="A391" s="86">
        <v>45677</v>
      </c>
      <c r="B391" s="18">
        <v>208500</v>
      </c>
      <c r="C391" s="14">
        <v>211000</v>
      </c>
      <c r="D391" s="14">
        <v>212000</v>
      </c>
      <c r="E391" s="14">
        <v>207500</v>
      </c>
      <c r="F391" t="s">
        <v>419</v>
      </c>
      <c r="G391" s="15">
        <v>-1.4200000000000001E-2</v>
      </c>
    </row>
    <row r="392" spans="1:7" x14ac:dyDescent="0.15">
      <c r="A392" s="86">
        <v>45674</v>
      </c>
      <c r="B392" s="18">
        <v>211500</v>
      </c>
      <c r="C392" s="14">
        <v>217500</v>
      </c>
      <c r="D392" s="14">
        <v>218000</v>
      </c>
      <c r="E392" s="14">
        <v>211000</v>
      </c>
      <c r="F392" t="s">
        <v>420</v>
      </c>
      <c r="G392" s="15">
        <v>-3.4200000000000001E-2</v>
      </c>
    </row>
    <row r="393" spans="1:7" x14ac:dyDescent="0.15">
      <c r="A393" s="86">
        <v>45673</v>
      </c>
      <c r="B393" s="18">
        <v>219000</v>
      </c>
      <c r="C393" s="14">
        <v>223000</v>
      </c>
      <c r="D393" s="14">
        <v>224000</v>
      </c>
      <c r="E393" s="14">
        <v>218000</v>
      </c>
      <c r="F393" t="s">
        <v>421</v>
      </c>
      <c r="G393" s="15">
        <v>-6.7999999999999996E-3</v>
      </c>
    </row>
    <row r="394" spans="1:7" x14ac:dyDescent="0.15">
      <c r="A394" s="86">
        <v>45672</v>
      </c>
      <c r="B394" s="18">
        <v>220500</v>
      </c>
      <c r="C394" s="14">
        <v>222000</v>
      </c>
      <c r="D394" s="14">
        <v>224000</v>
      </c>
      <c r="E394" s="14">
        <v>220500</v>
      </c>
      <c r="F394" t="s">
        <v>422</v>
      </c>
      <c r="G394" s="15">
        <v>-6.7999999999999996E-3</v>
      </c>
    </row>
    <row r="395" spans="1:7" x14ac:dyDescent="0.15">
      <c r="A395" s="86">
        <v>45671</v>
      </c>
      <c r="B395" s="18">
        <v>222000</v>
      </c>
      <c r="C395" s="14">
        <v>221000</v>
      </c>
      <c r="D395" s="14">
        <v>224500</v>
      </c>
      <c r="E395" s="14">
        <v>219500</v>
      </c>
      <c r="F395" t="s">
        <v>423</v>
      </c>
      <c r="G395" s="15">
        <v>9.1000000000000004E-3</v>
      </c>
    </row>
    <row r="396" spans="1:7" x14ac:dyDescent="0.15">
      <c r="A396" s="86">
        <v>45670</v>
      </c>
      <c r="B396" s="18">
        <v>220000</v>
      </c>
      <c r="C396" s="14">
        <v>225500</v>
      </c>
      <c r="D396" s="14">
        <v>226000</v>
      </c>
      <c r="E396" s="14">
        <v>218500</v>
      </c>
      <c r="F396" t="s">
        <v>424</v>
      </c>
      <c r="G396" s="15">
        <v>-2.6499999999999999E-2</v>
      </c>
    </row>
    <row r="397" spans="1:7" x14ac:dyDescent="0.15">
      <c r="A397" s="86">
        <v>45667</v>
      </c>
      <c r="B397" s="18">
        <v>226000</v>
      </c>
      <c r="C397" s="14">
        <v>215000</v>
      </c>
      <c r="D397" s="14">
        <v>227000</v>
      </c>
      <c r="E397" s="14">
        <v>215000</v>
      </c>
      <c r="F397" t="s">
        <v>137</v>
      </c>
      <c r="G397" s="15">
        <v>6.0999999999999999E-2</v>
      </c>
    </row>
    <row r="398" spans="1:7" x14ac:dyDescent="0.15">
      <c r="A398" s="86">
        <v>45666</v>
      </c>
      <c r="B398" s="18">
        <v>213000</v>
      </c>
      <c r="C398" s="14">
        <v>215000</v>
      </c>
      <c r="D398" s="14">
        <v>219500</v>
      </c>
      <c r="E398" s="14">
        <v>213000</v>
      </c>
      <c r="F398" t="s">
        <v>425</v>
      </c>
      <c r="G398" s="15">
        <v>-2.3E-3</v>
      </c>
    </row>
    <row r="399" spans="1:7" x14ac:dyDescent="0.15">
      <c r="A399" s="86">
        <v>45665</v>
      </c>
      <c r="B399" s="18">
        <v>213500</v>
      </c>
      <c r="C399" s="14">
        <v>209500</v>
      </c>
      <c r="D399" s="14">
        <v>215500</v>
      </c>
      <c r="E399" s="14">
        <v>209000</v>
      </c>
      <c r="F399" t="s">
        <v>426</v>
      </c>
      <c r="G399" s="15">
        <v>1.18E-2</v>
      </c>
    </row>
    <row r="400" spans="1:7" x14ac:dyDescent="0.15">
      <c r="A400" s="86">
        <v>45664</v>
      </c>
      <c r="B400" s="18">
        <v>211000</v>
      </c>
      <c r="C400" s="14">
        <v>211500</v>
      </c>
      <c r="D400" s="14">
        <v>214000</v>
      </c>
      <c r="E400" s="14">
        <v>210500</v>
      </c>
      <c r="F400" t="s">
        <v>427</v>
      </c>
      <c r="G400" s="15">
        <v>-2.3999999999999998E-3</v>
      </c>
    </row>
    <row r="401" spans="1:7" x14ac:dyDescent="0.15">
      <c r="A401" s="86">
        <v>45663</v>
      </c>
      <c r="B401" s="18">
        <v>211500</v>
      </c>
      <c r="C401" s="14">
        <v>213000</v>
      </c>
      <c r="D401" s="14">
        <v>213500</v>
      </c>
      <c r="E401" s="14">
        <v>207000</v>
      </c>
      <c r="F401" t="s">
        <v>428</v>
      </c>
      <c r="G401" s="15">
        <v>-7.0000000000000001E-3</v>
      </c>
    </row>
    <row r="402" spans="1:7" x14ac:dyDescent="0.15">
      <c r="A402" s="86">
        <v>45660</v>
      </c>
      <c r="B402" s="18">
        <v>213000</v>
      </c>
      <c r="C402" s="14">
        <v>211500</v>
      </c>
      <c r="D402" s="14">
        <v>215000</v>
      </c>
      <c r="E402" s="14">
        <v>211000</v>
      </c>
      <c r="F402" t="s">
        <v>429</v>
      </c>
      <c r="G402" s="15">
        <v>7.1000000000000004E-3</v>
      </c>
    </row>
    <row r="403" spans="1:7" x14ac:dyDescent="0.15">
      <c r="A403" s="86">
        <v>45659</v>
      </c>
      <c r="B403" s="18">
        <v>211500</v>
      </c>
      <c r="C403" s="14">
        <v>212000</v>
      </c>
      <c r="D403" s="14">
        <v>216000</v>
      </c>
      <c r="E403" s="14">
        <v>210500</v>
      </c>
      <c r="F403" t="s">
        <v>430</v>
      </c>
      <c r="G403" s="15">
        <v>-2.3999999999999998E-3</v>
      </c>
    </row>
    <row r="404" spans="1:7" x14ac:dyDescent="0.15">
      <c r="A404" s="86">
        <v>45656</v>
      </c>
      <c r="B404" s="18">
        <v>212000</v>
      </c>
      <c r="C404" s="14">
        <v>213500</v>
      </c>
      <c r="D404" s="14">
        <v>217000</v>
      </c>
      <c r="E404" s="14">
        <v>212000</v>
      </c>
      <c r="F404" t="s">
        <v>431</v>
      </c>
      <c r="G404" s="15">
        <v>-1.4E-2</v>
      </c>
    </row>
    <row r="405" spans="1:7" x14ac:dyDescent="0.15">
      <c r="A405" s="86">
        <v>45653</v>
      </c>
      <c r="B405" s="18">
        <v>215000</v>
      </c>
      <c r="C405" s="14">
        <v>217000</v>
      </c>
      <c r="D405" s="14">
        <v>217500</v>
      </c>
      <c r="E405" s="14">
        <v>213500</v>
      </c>
      <c r="F405" t="s">
        <v>432</v>
      </c>
      <c r="G405" s="15">
        <v>-1.15E-2</v>
      </c>
    </row>
    <row r="406" spans="1:7" x14ac:dyDescent="0.15">
      <c r="A406" s="86">
        <v>45652</v>
      </c>
      <c r="B406" s="18">
        <v>217500</v>
      </c>
      <c r="C406" s="14">
        <v>217500</v>
      </c>
      <c r="D406" s="14">
        <v>219500</v>
      </c>
      <c r="E406" s="14">
        <v>215000</v>
      </c>
      <c r="F406" t="s">
        <v>433</v>
      </c>
      <c r="G406" s="15">
        <v>4.5999999999999999E-3</v>
      </c>
    </row>
    <row r="407" spans="1:7" x14ac:dyDescent="0.15">
      <c r="A407" s="86">
        <v>45650</v>
      </c>
      <c r="B407" s="18">
        <v>216500</v>
      </c>
      <c r="C407" s="14">
        <v>215000</v>
      </c>
      <c r="D407" s="14">
        <v>217000</v>
      </c>
      <c r="E407" s="14">
        <v>213000</v>
      </c>
      <c r="F407" t="s">
        <v>434</v>
      </c>
      <c r="G407" s="15">
        <v>7.0000000000000001E-3</v>
      </c>
    </row>
    <row r="408" spans="1:7" x14ac:dyDescent="0.15">
      <c r="A408" s="86">
        <v>45649</v>
      </c>
      <c r="B408" s="18">
        <v>215000</v>
      </c>
      <c r="C408" s="14">
        <v>212500</v>
      </c>
      <c r="D408" s="14">
        <v>216500</v>
      </c>
      <c r="E408" s="14">
        <v>212000</v>
      </c>
      <c r="F408" t="s">
        <v>435</v>
      </c>
      <c r="G408" s="15">
        <v>2.1399999999999999E-2</v>
      </c>
    </row>
    <row r="409" spans="1:7" x14ac:dyDescent="0.15">
      <c r="A409" s="86">
        <v>45646</v>
      </c>
      <c r="B409" s="18">
        <v>210500</v>
      </c>
      <c r="C409" s="14">
        <v>210500</v>
      </c>
      <c r="D409" s="14">
        <v>211500</v>
      </c>
      <c r="E409" s="14">
        <v>206000</v>
      </c>
      <c r="F409" t="s">
        <v>436</v>
      </c>
      <c r="G409" s="15">
        <v>-7.1000000000000004E-3</v>
      </c>
    </row>
    <row r="410" spans="1:7" x14ac:dyDescent="0.15">
      <c r="A410" s="86">
        <v>45645</v>
      </c>
      <c r="B410" s="18">
        <v>212000</v>
      </c>
      <c r="C410" s="14">
        <v>213000</v>
      </c>
      <c r="D410" s="14">
        <v>214000</v>
      </c>
      <c r="E410" s="14">
        <v>210500</v>
      </c>
      <c r="F410" t="s">
        <v>437</v>
      </c>
      <c r="G410" s="15">
        <v>-2.0799999999999999E-2</v>
      </c>
    </row>
    <row r="411" spans="1:7" x14ac:dyDescent="0.15">
      <c r="A411" s="86">
        <v>45644</v>
      </c>
      <c r="B411" s="18">
        <v>216500</v>
      </c>
      <c r="C411" s="14">
        <v>207500</v>
      </c>
      <c r="D411" s="14">
        <v>217000</v>
      </c>
      <c r="E411" s="14">
        <v>207500</v>
      </c>
      <c r="F411" t="s">
        <v>438</v>
      </c>
      <c r="G411" s="15">
        <v>4.8399999999999999E-2</v>
      </c>
    </row>
    <row r="412" spans="1:7" x14ac:dyDescent="0.15">
      <c r="A412" s="86">
        <v>45643</v>
      </c>
      <c r="B412" s="18">
        <v>206500</v>
      </c>
      <c r="C412" s="14">
        <v>210000</v>
      </c>
      <c r="D412" s="14">
        <v>212500</v>
      </c>
      <c r="E412" s="14">
        <v>205500</v>
      </c>
      <c r="F412" t="s">
        <v>439</v>
      </c>
      <c r="G412" s="15">
        <v>-2.1299999999999999E-2</v>
      </c>
    </row>
    <row r="413" spans="1:7" x14ac:dyDescent="0.15">
      <c r="A413" s="86">
        <v>45642</v>
      </c>
      <c r="B413" s="18">
        <v>211000</v>
      </c>
      <c r="C413" s="14">
        <v>215500</v>
      </c>
      <c r="D413" s="14">
        <v>216000</v>
      </c>
      <c r="E413" s="14">
        <v>210500</v>
      </c>
      <c r="F413" t="s">
        <v>440</v>
      </c>
      <c r="G413" s="15">
        <v>-1.8599999999999998E-2</v>
      </c>
    </row>
    <row r="414" spans="1:7" x14ac:dyDescent="0.15">
      <c r="A414" s="86">
        <v>45639</v>
      </c>
      <c r="B414" s="18">
        <v>215000</v>
      </c>
      <c r="C414" s="14">
        <v>212000</v>
      </c>
      <c r="D414" s="14">
        <v>216000</v>
      </c>
      <c r="E414" s="14">
        <v>209000</v>
      </c>
      <c r="F414" t="s">
        <v>441</v>
      </c>
      <c r="G414" s="15">
        <v>1.6500000000000001E-2</v>
      </c>
    </row>
    <row r="415" spans="1:7" x14ac:dyDescent="0.15">
      <c r="A415" s="86">
        <v>45638</v>
      </c>
      <c r="B415" s="18">
        <v>211500</v>
      </c>
      <c r="C415" s="14">
        <v>210500</v>
      </c>
      <c r="D415" s="14">
        <v>213000</v>
      </c>
      <c r="E415" s="14">
        <v>209500</v>
      </c>
      <c r="F415" t="s">
        <v>442</v>
      </c>
      <c r="G415" s="15">
        <v>1.2E-2</v>
      </c>
    </row>
    <row r="416" spans="1:7" x14ac:dyDescent="0.15">
      <c r="A416" s="86">
        <v>45637</v>
      </c>
      <c r="B416" s="18">
        <v>209000</v>
      </c>
      <c r="C416" s="14">
        <v>208000</v>
      </c>
      <c r="D416" s="14">
        <v>211000</v>
      </c>
      <c r="E416" s="14">
        <v>207500</v>
      </c>
      <c r="F416" t="s">
        <v>443</v>
      </c>
      <c r="G416" s="15">
        <v>-7.1000000000000004E-3</v>
      </c>
    </row>
    <row r="417" spans="1:7" x14ac:dyDescent="0.15">
      <c r="A417" s="86">
        <v>45636</v>
      </c>
      <c r="B417" s="18">
        <v>210500</v>
      </c>
      <c r="C417" s="14">
        <v>205500</v>
      </c>
      <c r="D417" s="14">
        <v>211500</v>
      </c>
      <c r="E417" s="14">
        <v>204000</v>
      </c>
      <c r="F417" t="s">
        <v>444</v>
      </c>
      <c r="G417" s="15">
        <v>4.7300000000000002E-2</v>
      </c>
    </row>
    <row r="418" spans="1:7" x14ac:dyDescent="0.15">
      <c r="A418" s="86">
        <v>45635</v>
      </c>
      <c r="B418" s="18">
        <v>201000</v>
      </c>
      <c r="C418" s="14">
        <v>201000</v>
      </c>
      <c r="D418" s="14">
        <v>203000</v>
      </c>
      <c r="E418" s="14">
        <v>200000</v>
      </c>
      <c r="F418" t="s">
        <v>445</v>
      </c>
      <c r="G418" s="15">
        <v>-1.23E-2</v>
      </c>
    </row>
    <row r="419" spans="1:7" x14ac:dyDescent="0.15">
      <c r="A419" s="86">
        <v>45632</v>
      </c>
      <c r="B419" s="18">
        <v>203500</v>
      </c>
      <c r="C419" s="14">
        <v>203500</v>
      </c>
      <c r="D419" s="14">
        <v>206000</v>
      </c>
      <c r="E419" s="14">
        <v>200000</v>
      </c>
      <c r="F419" t="s">
        <v>446</v>
      </c>
      <c r="G419" s="15">
        <v>-4.8999999999999998E-3</v>
      </c>
    </row>
    <row r="420" spans="1:7" x14ac:dyDescent="0.15">
      <c r="A420" s="86">
        <v>45631</v>
      </c>
      <c r="B420" s="18">
        <v>204500</v>
      </c>
      <c r="C420" s="14">
        <v>209000</v>
      </c>
      <c r="D420" s="14">
        <v>210500</v>
      </c>
      <c r="E420" s="14">
        <v>204000</v>
      </c>
      <c r="F420" t="s">
        <v>447</v>
      </c>
      <c r="G420" s="15">
        <v>-2.1499999999999998E-2</v>
      </c>
    </row>
    <row r="421" spans="1:7" x14ac:dyDescent="0.15">
      <c r="A421" s="86">
        <v>45630</v>
      </c>
      <c r="B421" s="18">
        <v>209000</v>
      </c>
      <c r="C421" s="14">
        <v>208500</v>
      </c>
      <c r="D421" s="14">
        <v>213000</v>
      </c>
      <c r="E421" s="14">
        <v>207000</v>
      </c>
      <c r="F421" t="s">
        <v>448</v>
      </c>
      <c r="G421" s="15">
        <v>-2.5600000000000001E-2</v>
      </c>
    </row>
    <row r="422" spans="1:7" x14ac:dyDescent="0.15">
      <c r="A422" s="86">
        <v>45629</v>
      </c>
      <c r="B422" s="18">
        <v>214500</v>
      </c>
      <c r="C422" s="14">
        <v>218000</v>
      </c>
      <c r="D422" s="14">
        <v>218000</v>
      </c>
      <c r="E422" s="14">
        <v>213500</v>
      </c>
      <c r="F422" t="s">
        <v>449</v>
      </c>
      <c r="G422" s="15">
        <v>-6.8999999999999999E-3</v>
      </c>
    </row>
    <row r="423" spans="1:7" x14ac:dyDescent="0.15">
      <c r="A423" s="86">
        <v>45628</v>
      </c>
      <c r="B423" s="18">
        <v>216000</v>
      </c>
      <c r="C423" s="14">
        <v>219500</v>
      </c>
      <c r="D423" s="14">
        <v>220500</v>
      </c>
      <c r="E423" s="14">
        <v>215000</v>
      </c>
      <c r="F423" t="s">
        <v>450</v>
      </c>
      <c r="G423" s="15">
        <v>-1.14E-2</v>
      </c>
    </row>
    <row r="424" spans="1:7" x14ac:dyDescent="0.15">
      <c r="A424" s="86">
        <v>45625</v>
      </c>
      <c r="B424" s="18">
        <v>218500</v>
      </c>
      <c r="C424" s="14">
        <v>219000</v>
      </c>
      <c r="D424" s="14">
        <v>220000</v>
      </c>
      <c r="E424" s="14">
        <v>214500</v>
      </c>
      <c r="F424" t="s">
        <v>451</v>
      </c>
      <c r="G424" s="15">
        <v>-2.3E-3</v>
      </c>
    </row>
    <row r="425" spans="1:7" x14ac:dyDescent="0.15">
      <c r="A425" s="86">
        <v>45624</v>
      </c>
      <c r="B425" s="18">
        <v>219000</v>
      </c>
      <c r="C425" s="14">
        <v>224000</v>
      </c>
      <c r="D425" s="14">
        <v>225000</v>
      </c>
      <c r="E425" s="14">
        <v>218000</v>
      </c>
      <c r="F425" t="s">
        <v>452</v>
      </c>
      <c r="G425" s="15">
        <v>-8.9999999999999993E-3</v>
      </c>
    </row>
    <row r="426" spans="1:7" x14ac:dyDescent="0.15">
      <c r="A426" s="86">
        <v>45623</v>
      </c>
      <c r="B426" s="18">
        <v>221000</v>
      </c>
      <c r="C426" s="14">
        <v>220000</v>
      </c>
      <c r="D426" s="14">
        <v>226500</v>
      </c>
      <c r="E426" s="14">
        <v>218500</v>
      </c>
      <c r="F426" t="s">
        <v>155</v>
      </c>
      <c r="G426" s="15">
        <v>-1.12E-2</v>
      </c>
    </row>
    <row r="427" spans="1:7" x14ac:dyDescent="0.15">
      <c r="A427" s="86">
        <v>45622</v>
      </c>
      <c r="B427" s="18">
        <v>223500</v>
      </c>
      <c r="C427" s="14">
        <v>218000</v>
      </c>
      <c r="D427" s="14">
        <v>224500</v>
      </c>
      <c r="E427" s="14">
        <v>216500</v>
      </c>
      <c r="F427" t="s">
        <v>453</v>
      </c>
      <c r="G427" s="15">
        <v>2.0500000000000001E-2</v>
      </c>
    </row>
    <row r="428" spans="1:7" x14ac:dyDescent="0.15">
      <c r="A428" s="86">
        <v>45621</v>
      </c>
      <c r="B428" s="18">
        <v>219000</v>
      </c>
      <c r="C428" s="14">
        <v>219000</v>
      </c>
      <c r="D428" s="14">
        <v>221500</v>
      </c>
      <c r="E428" s="14">
        <v>216500</v>
      </c>
      <c r="F428" t="s">
        <v>454</v>
      </c>
      <c r="G428" s="15">
        <v>9.1999999999999998E-3</v>
      </c>
    </row>
    <row r="429" spans="1:7" x14ac:dyDescent="0.15">
      <c r="A429" s="86">
        <v>45618</v>
      </c>
      <c r="B429" s="18">
        <v>217000</v>
      </c>
      <c r="C429" s="14">
        <v>216000</v>
      </c>
      <c r="D429" s="14">
        <v>218500</v>
      </c>
      <c r="E429" s="14">
        <v>214500</v>
      </c>
      <c r="F429" t="s">
        <v>455</v>
      </c>
      <c r="G429" s="15">
        <v>7.0000000000000001E-3</v>
      </c>
    </row>
    <row r="430" spans="1:7" x14ac:dyDescent="0.15">
      <c r="A430" s="86">
        <v>45617</v>
      </c>
      <c r="B430" s="18">
        <v>215500</v>
      </c>
      <c r="C430" s="14">
        <v>218500</v>
      </c>
      <c r="D430" s="14">
        <v>219500</v>
      </c>
      <c r="E430" s="14">
        <v>215500</v>
      </c>
      <c r="F430" t="s">
        <v>456</v>
      </c>
      <c r="G430" s="15">
        <v>-1.37E-2</v>
      </c>
    </row>
    <row r="431" spans="1:7" x14ac:dyDescent="0.15">
      <c r="A431" s="86">
        <v>45616</v>
      </c>
      <c r="B431" s="18">
        <v>218500</v>
      </c>
      <c r="C431" s="14">
        <v>213000</v>
      </c>
      <c r="D431" s="14">
        <v>220500</v>
      </c>
      <c r="E431" s="14">
        <v>212500</v>
      </c>
      <c r="F431" t="s">
        <v>457</v>
      </c>
      <c r="G431" s="15">
        <v>1.3899999999999999E-2</v>
      </c>
    </row>
    <row r="432" spans="1:7" x14ac:dyDescent="0.15">
      <c r="A432" s="86">
        <v>45615</v>
      </c>
      <c r="B432" s="18">
        <v>215500</v>
      </c>
      <c r="C432" s="14">
        <v>217000</v>
      </c>
      <c r="D432" s="14">
        <v>219000</v>
      </c>
      <c r="E432" s="14">
        <v>213000</v>
      </c>
      <c r="F432" t="s">
        <v>458</v>
      </c>
      <c r="G432" s="15">
        <v>-6.8999999999999999E-3</v>
      </c>
    </row>
    <row r="433" spans="1:7" x14ac:dyDescent="0.15">
      <c r="A433" s="86">
        <v>45614</v>
      </c>
      <c r="B433" s="18">
        <v>217000</v>
      </c>
      <c r="C433" s="14">
        <v>206000</v>
      </c>
      <c r="D433" s="14">
        <v>218000</v>
      </c>
      <c r="E433" s="14">
        <v>206000</v>
      </c>
      <c r="F433" t="s">
        <v>315</v>
      </c>
      <c r="G433" s="15">
        <v>5.3400000000000003E-2</v>
      </c>
    </row>
    <row r="434" spans="1:7" x14ac:dyDescent="0.15">
      <c r="A434" s="86">
        <v>45611</v>
      </c>
      <c r="B434" s="18">
        <v>206000</v>
      </c>
      <c r="C434" s="14">
        <v>200000</v>
      </c>
      <c r="D434" s="14">
        <v>208500</v>
      </c>
      <c r="E434" s="14">
        <v>199900</v>
      </c>
      <c r="F434" t="s">
        <v>459</v>
      </c>
      <c r="G434" s="15">
        <v>2.23E-2</v>
      </c>
    </row>
    <row r="435" spans="1:7" x14ac:dyDescent="0.15">
      <c r="A435" s="86">
        <v>45610</v>
      </c>
      <c r="B435" s="18">
        <v>201500</v>
      </c>
      <c r="C435" s="14">
        <v>200500</v>
      </c>
      <c r="D435" s="14">
        <v>203500</v>
      </c>
      <c r="E435" s="14">
        <v>197300</v>
      </c>
      <c r="F435" t="s">
        <v>460</v>
      </c>
      <c r="G435" s="15">
        <v>8.0000000000000002E-3</v>
      </c>
    </row>
    <row r="436" spans="1:7" x14ac:dyDescent="0.15">
      <c r="A436" s="86">
        <v>45609</v>
      </c>
      <c r="B436" s="18">
        <v>199900</v>
      </c>
      <c r="C436" s="14">
        <v>206000</v>
      </c>
      <c r="D436" s="14">
        <v>206000</v>
      </c>
      <c r="E436" s="14">
        <v>199900</v>
      </c>
      <c r="F436" t="s">
        <v>461</v>
      </c>
      <c r="G436" s="15">
        <v>-3.4299999999999997E-2</v>
      </c>
    </row>
    <row r="437" spans="1:7" x14ac:dyDescent="0.15">
      <c r="A437" s="86">
        <v>45608</v>
      </c>
      <c r="B437" s="18">
        <v>207000</v>
      </c>
      <c r="C437" s="14">
        <v>213000</v>
      </c>
      <c r="D437" s="14">
        <v>213500</v>
      </c>
      <c r="E437" s="14">
        <v>206500</v>
      </c>
      <c r="F437" t="s">
        <v>462</v>
      </c>
      <c r="G437" s="15">
        <v>-1.9E-2</v>
      </c>
    </row>
    <row r="438" spans="1:7" x14ac:dyDescent="0.15">
      <c r="A438" s="86">
        <v>45607</v>
      </c>
      <c r="B438" s="18">
        <v>211000</v>
      </c>
      <c r="C438" s="14">
        <v>203500</v>
      </c>
      <c r="D438" s="14">
        <v>212500</v>
      </c>
      <c r="E438" s="14">
        <v>203500</v>
      </c>
      <c r="F438" t="s">
        <v>463</v>
      </c>
      <c r="G438" s="15">
        <v>3.6900000000000002E-2</v>
      </c>
    </row>
    <row r="439" spans="1:7" x14ac:dyDescent="0.15">
      <c r="A439" s="86">
        <v>45604</v>
      </c>
      <c r="B439" s="18">
        <v>203500</v>
      </c>
      <c r="C439" s="14">
        <v>209500</v>
      </c>
      <c r="D439" s="14">
        <v>210500</v>
      </c>
      <c r="E439" s="14">
        <v>202500</v>
      </c>
      <c r="F439" t="s">
        <v>464</v>
      </c>
      <c r="G439" s="15">
        <v>-1.9300000000000001E-2</v>
      </c>
    </row>
    <row r="440" spans="1:7" x14ac:dyDescent="0.15">
      <c r="A440" s="86">
        <v>45603</v>
      </c>
      <c r="B440" s="18">
        <v>207500</v>
      </c>
      <c r="C440" s="14">
        <v>203500</v>
      </c>
      <c r="D440" s="14">
        <v>210500</v>
      </c>
      <c r="E440" s="14">
        <v>201000</v>
      </c>
      <c r="F440" t="s">
        <v>379</v>
      </c>
      <c r="G440" s="15">
        <v>4.7999999999999996E-3</v>
      </c>
    </row>
    <row r="441" spans="1:7" x14ac:dyDescent="0.15">
      <c r="A441" s="86">
        <v>45602</v>
      </c>
      <c r="B441" s="18">
        <v>206500</v>
      </c>
      <c r="C441" s="14">
        <v>214000</v>
      </c>
      <c r="D441" s="14">
        <v>214500</v>
      </c>
      <c r="E441" s="14">
        <v>205500</v>
      </c>
      <c r="F441" t="s">
        <v>465</v>
      </c>
      <c r="G441" s="15">
        <v>-3.95E-2</v>
      </c>
    </row>
    <row r="442" spans="1:7" x14ac:dyDescent="0.15">
      <c r="A442" s="86">
        <v>45601</v>
      </c>
      <c r="B442" s="18">
        <v>215000</v>
      </c>
      <c r="C442" s="14">
        <v>214000</v>
      </c>
      <c r="D442" s="14">
        <v>215500</v>
      </c>
      <c r="E442" s="14">
        <v>211500</v>
      </c>
      <c r="F442" t="s">
        <v>466</v>
      </c>
      <c r="G442" s="15">
        <v>-6.8999999999999999E-3</v>
      </c>
    </row>
    <row r="443" spans="1:7" x14ac:dyDescent="0.15">
      <c r="A443" s="86">
        <v>45600</v>
      </c>
      <c r="B443" s="18">
        <v>216500</v>
      </c>
      <c r="C443" s="14">
        <v>215000</v>
      </c>
      <c r="D443" s="14">
        <v>220500</v>
      </c>
      <c r="E443" s="14">
        <v>214000</v>
      </c>
      <c r="F443" t="s">
        <v>467</v>
      </c>
      <c r="G443" s="15">
        <v>1.41E-2</v>
      </c>
    </row>
    <row r="444" spans="1:7" x14ac:dyDescent="0.15">
      <c r="A444" s="86">
        <v>45597</v>
      </c>
      <c r="B444" s="18">
        <v>213500</v>
      </c>
      <c r="C444" s="14">
        <v>212500</v>
      </c>
      <c r="D444" s="14">
        <v>216500</v>
      </c>
      <c r="E444" s="14">
        <v>211500</v>
      </c>
      <c r="F444" t="s">
        <v>468</v>
      </c>
      <c r="G444" s="15">
        <v>-7.0000000000000001E-3</v>
      </c>
    </row>
    <row r="445" spans="1:7" x14ac:dyDescent="0.15">
      <c r="A445" s="86">
        <v>45596</v>
      </c>
      <c r="B445" s="18">
        <v>215000</v>
      </c>
      <c r="C445" s="14">
        <v>220500</v>
      </c>
      <c r="D445" s="14">
        <v>221500</v>
      </c>
      <c r="E445" s="14">
        <v>215000</v>
      </c>
      <c r="F445" t="s">
        <v>123</v>
      </c>
      <c r="G445" s="15">
        <v>-2.4899999999999999E-2</v>
      </c>
    </row>
    <row r="446" spans="1:7" x14ac:dyDescent="0.15">
      <c r="A446" s="86">
        <v>45595</v>
      </c>
      <c r="B446" s="18">
        <v>220500</v>
      </c>
      <c r="C446" s="14">
        <v>223000</v>
      </c>
      <c r="D446" s="14">
        <v>225000</v>
      </c>
      <c r="E446" s="14">
        <v>220500</v>
      </c>
      <c r="F446" t="s">
        <v>469</v>
      </c>
      <c r="G446" s="15">
        <v>-1.5599999999999999E-2</v>
      </c>
    </row>
    <row r="447" spans="1:7" x14ac:dyDescent="0.15">
      <c r="A447" s="86">
        <v>45594</v>
      </c>
      <c r="B447" s="18">
        <v>224000</v>
      </c>
      <c r="C447" s="14">
        <v>226000</v>
      </c>
      <c r="D447" s="14">
        <v>226500</v>
      </c>
      <c r="E447" s="14">
        <v>221000</v>
      </c>
      <c r="F447" t="s">
        <v>470</v>
      </c>
      <c r="G447" s="15">
        <v>-1.0999999999999999E-2</v>
      </c>
    </row>
    <row r="448" spans="1:7" x14ac:dyDescent="0.15">
      <c r="A448" s="86">
        <v>45593</v>
      </c>
      <c r="B448" s="18">
        <v>226500</v>
      </c>
      <c r="C448" s="14">
        <v>226000</v>
      </c>
      <c r="D448" s="14">
        <v>229000</v>
      </c>
      <c r="E448" s="14">
        <v>224000</v>
      </c>
      <c r="F448" t="s">
        <v>471</v>
      </c>
      <c r="G448" s="15">
        <v>4.4000000000000003E-3</v>
      </c>
    </row>
    <row r="449" spans="1:7" x14ac:dyDescent="0.15">
      <c r="A449" s="86">
        <v>45590</v>
      </c>
      <c r="B449" s="18">
        <v>225500</v>
      </c>
      <c r="C449" s="14">
        <v>226500</v>
      </c>
      <c r="D449" s="14">
        <v>231000</v>
      </c>
      <c r="E449" s="14">
        <v>220500</v>
      </c>
      <c r="F449" t="s">
        <v>315</v>
      </c>
      <c r="G449" s="15">
        <v>-1.3100000000000001E-2</v>
      </c>
    </row>
    <row r="450" spans="1:7" x14ac:dyDescent="0.15">
      <c r="A450" s="86">
        <v>45589</v>
      </c>
      <c r="B450" s="18">
        <v>228500</v>
      </c>
      <c r="C450" s="14">
        <v>241000</v>
      </c>
      <c r="D450" s="14">
        <v>241000</v>
      </c>
      <c r="E450" s="14">
        <v>228000</v>
      </c>
      <c r="F450" t="s">
        <v>81</v>
      </c>
      <c r="G450" s="15">
        <v>-5.1900000000000002E-2</v>
      </c>
    </row>
    <row r="451" spans="1:7" x14ac:dyDescent="0.15">
      <c r="A451" s="86">
        <v>45588</v>
      </c>
      <c r="B451" s="18">
        <v>241000</v>
      </c>
      <c r="C451" s="14">
        <v>236500</v>
      </c>
      <c r="D451" s="14">
        <v>243000</v>
      </c>
      <c r="E451" s="14">
        <v>234000</v>
      </c>
      <c r="F451" t="s">
        <v>472</v>
      </c>
      <c r="G451" s="15">
        <v>2.7699999999999999E-2</v>
      </c>
    </row>
    <row r="452" spans="1:7" x14ac:dyDescent="0.15">
      <c r="A452" s="86">
        <v>45587</v>
      </c>
      <c r="B452" s="18">
        <v>234500</v>
      </c>
      <c r="C452" s="14">
        <v>236000</v>
      </c>
      <c r="D452" s="14">
        <v>239000</v>
      </c>
      <c r="E452" s="14">
        <v>232500</v>
      </c>
      <c r="F452" t="s">
        <v>473</v>
      </c>
      <c r="G452" s="15">
        <v>-1.0500000000000001E-2</v>
      </c>
    </row>
    <row r="453" spans="1:7" x14ac:dyDescent="0.15">
      <c r="A453" s="86">
        <v>45586</v>
      </c>
      <c r="B453" s="18">
        <v>237000</v>
      </c>
      <c r="C453" s="14">
        <v>235000</v>
      </c>
      <c r="D453" s="14">
        <v>240000</v>
      </c>
      <c r="E453" s="14">
        <v>234500</v>
      </c>
      <c r="F453" t="s">
        <v>474</v>
      </c>
      <c r="G453" s="15">
        <v>1.0699999999999999E-2</v>
      </c>
    </row>
    <row r="454" spans="1:7" x14ac:dyDescent="0.15">
      <c r="A454" s="86">
        <v>45583</v>
      </c>
      <c r="B454" s="18">
        <v>234500</v>
      </c>
      <c r="C454" s="14">
        <v>237000</v>
      </c>
      <c r="D454" s="14">
        <v>239000</v>
      </c>
      <c r="E454" s="14">
        <v>233000</v>
      </c>
      <c r="F454" t="s">
        <v>475</v>
      </c>
      <c r="G454" s="15">
        <v>-4.1999999999999997E-3</v>
      </c>
    </row>
    <row r="455" spans="1:7" x14ac:dyDescent="0.15">
      <c r="A455" s="86">
        <v>45582</v>
      </c>
      <c r="B455" s="18">
        <v>235500</v>
      </c>
      <c r="C455" s="14">
        <v>245000</v>
      </c>
      <c r="D455" s="14">
        <v>246000</v>
      </c>
      <c r="E455" s="14">
        <v>235500</v>
      </c>
      <c r="F455" t="s">
        <v>476</v>
      </c>
      <c r="G455" s="15">
        <v>-4.6600000000000003E-2</v>
      </c>
    </row>
    <row r="456" spans="1:7" x14ac:dyDescent="0.15">
      <c r="A456" s="86">
        <v>45581</v>
      </c>
      <c r="B456" s="18">
        <v>247000</v>
      </c>
      <c r="C456" s="14">
        <v>246000</v>
      </c>
      <c r="D456" s="14">
        <v>247000</v>
      </c>
      <c r="E456" s="14">
        <v>242000</v>
      </c>
      <c r="F456" t="s">
        <v>477</v>
      </c>
      <c r="G456" s="15">
        <v>4.1000000000000003E-3</v>
      </c>
    </row>
    <row r="457" spans="1:7" x14ac:dyDescent="0.15">
      <c r="A457" s="86">
        <v>45580</v>
      </c>
      <c r="B457" s="18">
        <v>246000</v>
      </c>
      <c r="C457" s="14">
        <v>249500</v>
      </c>
      <c r="D457" s="14">
        <v>249500</v>
      </c>
      <c r="E457" s="14">
        <v>246000</v>
      </c>
      <c r="F457" t="s">
        <v>478</v>
      </c>
      <c r="G457" s="15">
        <v>-1.01E-2</v>
      </c>
    </row>
    <row r="458" spans="1:7" x14ac:dyDescent="0.15">
      <c r="A458" s="86">
        <v>45579</v>
      </c>
      <c r="B458" s="18">
        <v>248500</v>
      </c>
      <c r="C458" s="14">
        <v>250500</v>
      </c>
      <c r="D458" s="14">
        <v>254000</v>
      </c>
      <c r="E458" s="14">
        <v>248000</v>
      </c>
      <c r="F458" t="s">
        <v>479</v>
      </c>
      <c r="G458" s="15">
        <v>0</v>
      </c>
    </row>
    <row r="459" spans="1:7" x14ac:dyDescent="0.15">
      <c r="A459" s="86">
        <v>45576</v>
      </c>
      <c r="B459" s="18">
        <v>248500</v>
      </c>
      <c r="C459" s="14">
        <v>248000</v>
      </c>
      <c r="D459" s="14">
        <v>249500</v>
      </c>
      <c r="E459" s="14">
        <v>246500</v>
      </c>
      <c r="F459" t="s">
        <v>480</v>
      </c>
      <c r="G459" s="15">
        <v>1.0200000000000001E-2</v>
      </c>
    </row>
    <row r="460" spans="1:7" x14ac:dyDescent="0.15">
      <c r="A460" s="86">
        <v>45575</v>
      </c>
      <c r="B460" s="18">
        <v>246000</v>
      </c>
      <c r="C460" s="14">
        <v>253000</v>
      </c>
      <c r="D460" s="14">
        <v>255500</v>
      </c>
      <c r="E460" s="14">
        <v>246000</v>
      </c>
      <c r="F460" t="s">
        <v>481</v>
      </c>
      <c r="G460" s="15">
        <v>0</v>
      </c>
    </row>
    <row r="461" spans="1:7" x14ac:dyDescent="0.15">
      <c r="A461" s="86">
        <v>45573</v>
      </c>
      <c r="B461" s="18">
        <v>246000</v>
      </c>
      <c r="C461" s="14">
        <v>244500</v>
      </c>
      <c r="D461" s="14">
        <v>247000</v>
      </c>
      <c r="E461" s="14">
        <v>244000</v>
      </c>
      <c r="F461" t="s">
        <v>482</v>
      </c>
      <c r="G461" s="15">
        <v>-4.0000000000000001E-3</v>
      </c>
    </row>
    <row r="462" spans="1:7" x14ac:dyDescent="0.15">
      <c r="A462" s="86">
        <v>45572</v>
      </c>
      <c r="B462" s="18">
        <v>247000</v>
      </c>
      <c r="C462" s="14">
        <v>244000</v>
      </c>
      <c r="D462" s="14">
        <v>247000</v>
      </c>
      <c r="E462" s="14">
        <v>241000</v>
      </c>
      <c r="F462" t="s">
        <v>483</v>
      </c>
      <c r="G462" s="15">
        <v>3.1300000000000001E-2</v>
      </c>
    </row>
    <row r="463" spans="1:7" x14ac:dyDescent="0.15">
      <c r="A463" s="86">
        <v>45569</v>
      </c>
      <c r="B463" s="18">
        <v>239500</v>
      </c>
      <c r="C463" s="14">
        <v>235500</v>
      </c>
      <c r="D463" s="14">
        <v>241500</v>
      </c>
      <c r="E463" s="14">
        <v>232000</v>
      </c>
      <c r="F463" t="s">
        <v>484</v>
      </c>
      <c r="G463" s="15">
        <v>1.0500000000000001E-2</v>
      </c>
    </row>
    <row r="464" spans="1:7" x14ac:dyDescent="0.15">
      <c r="A464" s="86">
        <v>45567</v>
      </c>
      <c r="B464" s="18">
        <v>237000</v>
      </c>
      <c r="C464" s="14">
        <v>237500</v>
      </c>
      <c r="D464" s="14">
        <v>241000</v>
      </c>
      <c r="E464" s="14">
        <v>236500</v>
      </c>
      <c r="F464" t="s">
        <v>485</v>
      </c>
      <c r="G464" s="15">
        <v>-2.87E-2</v>
      </c>
    </row>
    <row r="465" spans="1:7" x14ac:dyDescent="0.15">
      <c r="A465" s="86">
        <v>45565</v>
      </c>
      <c r="B465" s="18">
        <v>244000</v>
      </c>
      <c r="C465" s="14">
        <v>255500</v>
      </c>
      <c r="D465" s="14">
        <v>256000</v>
      </c>
      <c r="E465" s="14">
        <v>244000</v>
      </c>
      <c r="F465" t="s">
        <v>486</v>
      </c>
      <c r="G465" s="15">
        <v>-4.1300000000000003E-2</v>
      </c>
    </row>
    <row r="466" spans="1:7" x14ac:dyDescent="0.15">
      <c r="A466" s="86">
        <v>45562</v>
      </c>
      <c r="B466" s="18">
        <v>254500</v>
      </c>
      <c r="C466" s="14">
        <v>257500</v>
      </c>
      <c r="D466" s="14">
        <v>259000</v>
      </c>
      <c r="E466" s="14">
        <v>253500</v>
      </c>
      <c r="F466" t="s">
        <v>487</v>
      </c>
      <c r="G466" s="15">
        <v>-1.7399999999999999E-2</v>
      </c>
    </row>
    <row r="467" spans="1:7" x14ac:dyDescent="0.15">
      <c r="A467" s="86">
        <v>45561</v>
      </c>
      <c r="B467" s="18">
        <v>259000</v>
      </c>
      <c r="C467" s="14">
        <v>250000</v>
      </c>
      <c r="D467" s="14">
        <v>259000</v>
      </c>
      <c r="E467" s="14">
        <v>247500</v>
      </c>
      <c r="F467" t="s">
        <v>488</v>
      </c>
      <c r="G467" s="15">
        <v>2.98E-2</v>
      </c>
    </row>
    <row r="468" spans="1:7" x14ac:dyDescent="0.15">
      <c r="A468" s="86">
        <v>45560</v>
      </c>
      <c r="B468" s="18">
        <v>251500</v>
      </c>
      <c r="C468" s="14">
        <v>255500</v>
      </c>
      <c r="D468" s="14">
        <v>257000</v>
      </c>
      <c r="E468" s="14">
        <v>250500</v>
      </c>
      <c r="F468" t="s">
        <v>489</v>
      </c>
      <c r="G468" s="15">
        <v>-5.8999999999999999E-3</v>
      </c>
    </row>
    <row r="469" spans="1:7" x14ac:dyDescent="0.15">
      <c r="A469" s="86">
        <v>45559</v>
      </c>
      <c r="B469" s="18">
        <v>253000</v>
      </c>
      <c r="C469" s="14">
        <v>249000</v>
      </c>
      <c r="D469" s="14">
        <v>253000</v>
      </c>
      <c r="E469" s="14">
        <v>248000</v>
      </c>
      <c r="F469" t="s">
        <v>490</v>
      </c>
      <c r="G469" s="15">
        <v>1.61E-2</v>
      </c>
    </row>
    <row r="470" spans="1:7" x14ac:dyDescent="0.15">
      <c r="A470" s="86">
        <v>45558</v>
      </c>
      <c r="B470" s="18">
        <v>249000</v>
      </c>
      <c r="C470" s="14">
        <v>251500</v>
      </c>
      <c r="D470" s="14">
        <v>251500</v>
      </c>
      <c r="E470" s="14">
        <v>246500</v>
      </c>
      <c r="F470" t="s">
        <v>491</v>
      </c>
      <c r="G470" s="15">
        <v>-6.0000000000000001E-3</v>
      </c>
    </row>
    <row r="471" spans="1:7" x14ac:dyDescent="0.15">
      <c r="A471" s="86">
        <v>45555</v>
      </c>
      <c r="B471" s="18">
        <v>250500</v>
      </c>
      <c r="C471" s="14">
        <v>250000</v>
      </c>
      <c r="D471" s="14">
        <v>251000</v>
      </c>
      <c r="E471" s="14">
        <v>247500</v>
      </c>
      <c r="F471" t="s">
        <v>492</v>
      </c>
      <c r="G471" s="15">
        <v>1.83E-2</v>
      </c>
    </row>
    <row r="472" spans="1:7" x14ac:dyDescent="0.15">
      <c r="A472" s="86">
        <v>45554</v>
      </c>
      <c r="B472" s="18">
        <v>246000</v>
      </c>
      <c r="C472" s="14">
        <v>244000</v>
      </c>
      <c r="D472" s="14">
        <v>246500</v>
      </c>
      <c r="E472" s="14">
        <v>241500</v>
      </c>
      <c r="F472" t="s">
        <v>493</v>
      </c>
      <c r="G472" s="15">
        <v>3.7999999999999999E-2</v>
      </c>
    </row>
    <row r="473" spans="1:7" x14ac:dyDescent="0.15">
      <c r="A473" s="86">
        <v>45548</v>
      </c>
      <c r="B473" s="18">
        <v>237000</v>
      </c>
      <c r="C473" s="14">
        <v>237500</v>
      </c>
      <c r="D473" s="14">
        <v>240500</v>
      </c>
      <c r="E473" s="14">
        <v>234500</v>
      </c>
      <c r="F473" t="s">
        <v>494</v>
      </c>
      <c r="G473" s="15">
        <v>2.1600000000000001E-2</v>
      </c>
    </row>
    <row r="474" spans="1:7" x14ac:dyDescent="0.15">
      <c r="A474" s="86">
        <v>45547</v>
      </c>
      <c r="B474" s="18">
        <v>232000</v>
      </c>
      <c r="C474" s="14">
        <v>226000</v>
      </c>
      <c r="D474" s="14">
        <v>232000</v>
      </c>
      <c r="E474" s="14">
        <v>225500</v>
      </c>
      <c r="F474" t="s">
        <v>495</v>
      </c>
      <c r="G474" s="15">
        <v>3.7999999999999999E-2</v>
      </c>
    </row>
    <row r="475" spans="1:7" x14ac:dyDescent="0.15">
      <c r="A475" s="86">
        <v>45546</v>
      </c>
      <c r="B475" s="18">
        <v>223500</v>
      </c>
      <c r="C475" s="14">
        <v>229500</v>
      </c>
      <c r="D475" s="14">
        <v>230500</v>
      </c>
      <c r="E475" s="14">
        <v>221500</v>
      </c>
      <c r="F475" t="s">
        <v>496</v>
      </c>
      <c r="G475" s="15">
        <v>-3.2500000000000001E-2</v>
      </c>
    </row>
    <row r="476" spans="1:7" x14ac:dyDescent="0.15">
      <c r="A476" s="86">
        <v>45545</v>
      </c>
      <c r="B476" s="18">
        <v>231000</v>
      </c>
      <c r="C476" s="14">
        <v>229500</v>
      </c>
      <c r="D476" s="14">
        <v>231000</v>
      </c>
      <c r="E476" s="14">
        <v>227000</v>
      </c>
      <c r="F476" t="s">
        <v>497</v>
      </c>
      <c r="G476" s="15">
        <v>6.4999999999999997E-3</v>
      </c>
    </row>
    <row r="477" spans="1:7" x14ac:dyDescent="0.15">
      <c r="A477" s="86">
        <v>45544</v>
      </c>
      <c r="B477" s="18">
        <v>229500</v>
      </c>
      <c r="C477" s="14">
        <v>225500</v>
      </c>
      <c r="D477" s="14">
        <v>231500</v>
      </c>
      <c r="E477" s="14">
        <v>225000</v>
      </c>
      <c r="F477" t="s">
        <v>498</v>
      </c>
      <c r="G477" s="15">
        <v>8.8000000000000005E-3</v>
      </c>
    </row>
    <row r="478" spans="1:7" x14ac:dyDescent="0.15">
      <c r="A478" s="86">
        <v>45541</v>
      </c>
      <c r="B478" s="18">
        <v>227500</v>
      </c>
      <c r="C478" s="14">
        <v>228000</v>
      </c>
      <c r="D478" s="14">
        <v>230500</v>
      </c>
      <c r="E478" s="14">
        <v>223000</v>
      </c>
      <c r="F478" t="s">
        <v>499</v>
      </c>
      <c r="G478" s="15">
        <v>-6.6E-3</v>
      </c>
    </row>
    <row r="479" spans="1:7" x14ac:dyDescent="0.15">
      <c r="A479" s="86">
        <v>45540</v>
      </c>
      <c r="B479" s="18">
        <v>229000</v>
      </c>
      <c r="C479" s="14">
        <v>236000</v>
      </c>
      <c r="D479" s="14">
        <v>237500</v>
      </c>
      <c r="E479" s="14">
        <v>227000</v>
      </c>
      <c r="F479" t="s">
        <v>500</v>
      </c>
      <c r="G479" s="15">
        <v>-1.5100000000000001E-2</v>
      </c>
    </row>
    <row r="480" spans="1:7" x14ac:dyDescent="0.15">
      <c r="A480" s="86">
        <v>45539</v>
      </c>
      <c r="B480" s="18">
        <v>232500</v>
      </c>
      <c r="C480" s="14">
        <v>231000</v>
      </c>
      <c r="D480" s="14">
        <v>236500</v>
      </c>
      <c r="E480" s="14">
        <v>229500</v>
      </c>
      <c r="F480" t="s">
        <v>501</v>
      </c>
      <c r="G480" s="15">
        <v>-2.1100000000000001E-2</v>
      </c>
    </row>
    <row r="481" spans="1:7" x14ac:dyDescent="0.15">
      <c r="A481" s="86">
        <v>45538</v>
      </c>
      <c r="B481" s="18">
        <v>237500</v>
      </c>
      <c r="C481" s="14">
        <v>244000</v>
      </c>
      <c r="D481" s="14">
        <v>244500</v>
      </c>
      <c r="E481" s="14">
        <v>236000</v>
      </c>
      <c r="F481" t="s">
        <v>502</v>
      </c>
      <c r="G481" s="15">
        <v>-3.4599999999999999E-2</v>
      </c>
    </row>
    <row r="482" spans="1:7" x14ac:dyDescent="0.15">
      <c r="A482" s="86">
        <v>45537</v>
      </c>
      <c r="B482" s="18">
        <v>246000</v>
      </c>
      <c r="C482" s="14">
        <v>256000</v>
      </c>
      <c r="D482" s="14">
        <v>256000</v>
      </c>
      <c r="E482" s="14">
        <v>245000</v>
      </c>
      <c r="F482" t="s">
        <v>503</v>
      </c>
      <c r="G482" s="15">
        <v>-3.7199999999999997E-2</v>
      </c>
    </row>
    <row r="483" spans="1:7" x14ac:dyDescent="0.15">
      <c r="A483" s="86">
        <v>45534</v>
      </c>
      <c r="B483" s="18">
        <v>255500</v>
      </c>
      <c r="C483" s="14">
        <v>261000</v>
      </c>
      <c r="D483" s="14">
        <v>265500</v>
      </c>
      <c r="E483" s="14">
        <v>255500</v>
      </c>
      <c r="F483" t="s">
        <v>315</v>
      </c>
      <c r="G483" s="15">
        <v>-1.1599999999999999E-2</v>
      </c>
    </row>
    <row r="484" spans="1:7" x14ac:dyDescent="0.15">
      <c r="A484" s="86">
        <v>45533</v>
      </c>
      <c r="B484" s="18">
        <v>258500</v>
      </c>
      <c r="C484" s="14">
        <v>261500</v>
      </c>
      <c r="D484" s="14">
        <v>267000</v>
      </c>
      <c r="E484" s="14">
        <v>256000</v>
      </c>
      <c r="F484" t="s">
        <v>504</v>
      </c>
      <c r="G484" s="15">
        <v>-1.9E-3</v>
      </c>
    </row>
    <row r="485" spans="1:7" x14ac:dyDescent="0.15">
      <c r="A485" s="86">
        <v>45532</v>
      </c>
      <c r="B485" s="18">
        <v>259000</v>
      </c>
      <c r="C485" s="14">
        <v>249500</v>
      </c>
      <c r="D485" s="14">
        <v>261000</v>
      </c>
      <c r="E485" s="14">
        <v>246000</v>
      </c>
      <c r="F485" t="s">
        <v>150</v>
      </c>
      <c r="G485" s="15">
        <v>4.65E-2</v>
      </c>
    </row>
    <row r="486" spans="1:7" x14ac:dyDescent="0.15">
      <c r="A486" s="86">
        <v>45531</v>
      </c>
      <c r="B486" s="18">
        <v>247500</v>
      </c>
      <c r="C486" s="14">
        <v>248500</v>
      </c>
      <c r="D486" s="14">
        <v>251000</v>
      </c>
      <c r="E486" s="14">
        <v>244500</v>
      </c>
      <c r="F486" t="s">
        <v>505</v>
      </c>
      <c r="G486" s="15">
        <v>-8.0000000000000002E-3</v>
      </c>
    </row>
    <row r="487" spans="1:7" x14ac:dyDescent="0.15">
      <c r="A487" s="86">
        <v>45530</v>
      </c>
      <c r="B487" s="18">
        <v>249500</v>
      </c>
      <c r="C487" s="14">
        <v>255500</v>
      </c>
      <c r="D487" s="14">
        <v>258000</v>
      </c>
      <c r="E487" s="14">
        <v>247500</v>
      </c>
      <c r="F487" t="s">
        <v>506</v>
      </c>
      <c r="G487" s="15">
        <v>-1.1900000000000001E-2</v>
      </c>
    </row>
    <row r="488" spans="1:7" x14ac:dyDescent="0.15">
      <c r="A488" s="86">
        <v>45527</v>
      </c>
      <c r="B488" s="18">
        <v>252500</v>
      </c>
      <c r="C488" s="14">
        <v>245500</v>
      </c>
      <c r="D488" s="14">
        <v>254000</v>
      </c>
      <c r="E488" s="14">
        <v>245000</v>
      </c>
      <c r="F488" t="s">
        <v>507</v>
      </c>
      <c r="G488" s="15">
        <v>1.8100000000000002E-2</v>
      </c>
    </row>
    <row r="489" spans="1:7" x14ac:dyDescent="0.15">
      <c r="A489" s="86">
        <v>45526</v>
      </c>
      <c r="B489" s="18">
        <v>248000</v>
      </c>
      <c r="C489" s="14">
        <v>253500</v>
      </c>
      <c r="D489" s="14">
        <v>254000</v>
      </c>
      <c r="E489" s="14">
        <v>245500</v>
      </c>
      <c r="F489" t="s">
        <v>508</v>
      </c>
      <c r="G489" s="15">
        <v>-1.78E-2</v>
      </c>
    </row>
    <row r="490" spans="1:7" x14ac:dyDescent="0.15">
      <c r="A490" s="86">
        <v>45525</v>
      </c>
      <c r="B490" s="18">
        <v>252500</v>
      </c>
      <c r="C490" s="14">
        <v>257500</v>
      </c>
      <c r="D490" s="14">
        <v>257500</v>
      </c>
      <c r="E490" s="14">
        <v>251000</v>
      </c>
      <c r="F490" t="s">
        <v>509</v>
      </c>
      <c r="G490" s="15">
        <v>-1.37E-2</v>
      </c>
    </row>
    <row r="491" spans="1:7" x14ac:dyDescent="0.15">
      <c r="A491" s="86">
        <v>45524</v>
      </c>
      <c r="B491" s="18">
        <v>256000</v>
      </c>
      <c r="C491" s="14">
        <v>258000</v>
      </c>
      <c r="D491" s="14">
        <v>261000</v>
      </c>
      <c r="E491" s="14">
        <v>255000</v>
      </c>
      <c r="F491" t="s">
        <v>510</v>
      </c>
      <c r="G491" s="15">
        <v>3.8999999999999998E-3</v>
      </c>
    </row>
    <row r="492" spans="1:7" x14ac:dyDescent="0.15">
      <c r="A492" s="86">
        <v>45523</v>
      </c>
      <c r="B492" s="18">
        <v>255000</v>
      </c>
      <c r="C492" s="14">
        <v>256000</v>
      </c>
      <c r="D492" s="14">
        <v>259500</v>
      </c>
      <c r="E492" s="14">
        <v>250000</v>
      </c>
      <c r="F492" t="s">
        <v>511</v>
      </c>
      <c r="G492" s="15">
        <v>0</v>
      </c>
    </row>
    <row r="493" spans="1:7" x14ac:dyDescent="0.15">
      <c r="A493" s="86">
        <v>45520</v>
      </c>
      <c r="B493" s="18">
        <v>255000</v>
      </c>
      <c r="C493" s="14">
        <v>248000</v>
      </c>
      <c r="D493" s="14">
        <v>256500</v>
      </c>
      <c r="E493" s="14">
        <v>246500</v>
      </c>
      <c r="F493" t="s">
        <v>315</v>
      </c>
      <c r="G493" s="15">
        <v>5.8099999999999999E-2</v>
      </c>
    </row>
    <row r="494" spans="1:7" x14ac:dyDescent="0.15">
      <c r="A494" s="86">
        <v>45518</v>
      </c>
      <c r="B494" s="18">
        <v>241000</v>
      </c>
      <c r="C494" s="14">
        <v>245500</v>
      </c>
      <c r="D494" s="14">
        <v>248000</v>
      </c>
      <c r="E494" s="14">
        <v>238500</v>
      </c>
      <c r="F494" t="s">
        <v>512</v>
      </c>
      <c r="G494" s="15">
        <v>-8.2000000000000007E-3</v>
      </c>
    </row>
    <row r="495" spans="1:7" x14ac:dyDescent="0.15">
      <c r="A495" s="86">
        <v>45517</v>
      </c>
      <c r="B495" s="18">
        <v>243000</v>
      </c>
      <c r="C495" s="14">
        <v>242000</v>
      </c>
      <c r="D495" s="14">
        <v>245500</v>
      </c>
      <c r="E495" s="14">
        <v>240000</v>
      </c>
      <c r="F495" t="s">
        <v>513</v>
      </c>
      <c r="G495" s="15">
        <v>-2.0999999999999999E-3</v>
      </c>
    </row>
    <row r="496" spans="1:7" x14ac:dyDescent="0.15">
      <c r="A496" s="86">
        <v>45516</v>
      </c>
      <c r="B496" s="18">
        <v>243500</v>
      </c>
      <c r="C496" s="14">
        <v>246000</v>
      </c>
      <c r="D496" s="14">
        <v>249000</v>
      </c>
      <c r="E496" s="14">
        <v>242000</v>
      </c>
      <c r="F496" t="s">
        <v>514</v>
      </c>
      <c r="G496" s="15">
        <v>2.0999999999999999E-3</v>
      </c>
    </row>
    <row r="497" spans="1:7" x14ac:dyDescent="0.15">
      <c r="A497" s="86">
        <v>45513</v>
      </c>
      <c r="B497" s="18">
        <v>243000</v>
      </c>
      <c r="C497" s="14">
        <v>240500</v>
      </c>
      <c r="D497" s="14">
        <v>248000</v>
      </c>
      <c r="E497" s="14">
        <v>240000</v>
      </c>
      <c r="F497" t="s">
        <v>515</v>
      </c>
      <c r="G497" s="15">
        <v>2.75E-2</v>
      </c>
    </row>
    <row r="498" spans="1:7" x14ac:dyDescent="0.15">
      <c r="A498" s="86">
        <v>45512</v>
      </c>
      <c r="B498" s="18">
        <v>236500</v>
      </c>
      <c r="C498" s="14">
        <v>231500</v>
      </c>
      <c r="D498" s="14">
        <v>240000</v>
      </c>
      <c r="E498" s="14">
        <v>228500</v>
      </c>
      <c r="F498" t="s">
        <v>516</v>
      </c>
      <c r="G498" s="15">
        <v>2.0999999999999999E-3</v>
      </c>
    </row>
    <row r="499" spans="1:7" x14ac:dyDescent="0.15">
      <c r="A499" s="86">
        <v>45511</v>
      </c>
      <c r="B499" s="18">
        <v>236000</v>
      </c>
      <c r="C499" s="14">
        <v>233000</v>
      </c>
      <c r="D499" s="14">
        <v>241000</v>
      </c>
      <c r="E499" s="14">
        <v>231500</v>
      </c>
      <c r="F499" t="s">
        <v>517</v>
      </c>
      <c r="G499" s="15">
        <v>4.3E-3</v>
      </c>
    </row>
    <row r="500" spans="1:7" x14ac:dyDescent="0.15">
      <c r="A500" s="86">
        <v>45510</v>
      </c>
      <c r="B500" s="18">
        <v>235000</v>
      </c>
      <c r="C500" s="14">
        <v>233500</v>
      </c>
      <c r="D500" s="14">
        <v>241500</v>
      </c>
      <c r="E500" s="14">
        <v>228000</v>
      </c>
      <c r="F500" t="s">
        <v>116</v>
      </c>
      <c r="G500" s="15">
        <v>4.9099999999999998E-2</v>
      </c>
    </row>
    <row r="501" spans="1:7" x14ac:dyDescent="0.15">
      <c r="A501" s="86">
        <v>45509</v>
      </c>
      <c r="B501" s="18">
        <v>224000</v>
      </c>
      <c r="C501" s="14">
        <v>236000</v>
      </c>
      <c r="D501" s="14">
        <v>239500</v>
      </c>
      <c r="E501" s="14">
        <v>216500</v>
      </c>
      <c r="F501" t="s">
        <v>179</v>
      </c>
      <c r="G501" s="15">
        <v>-8.2000000000000003E-2</v>
      </c>
    </row>
    <row r="502" spans="1:7" x14ac:dyDescent="0.15">
      <c r="A502" s="86">
        <v>45506</v>
      </c>
      <c r="B502" s="18">
        <v>244000</v>
      </c>
      <c r="C502" s="14">
        <v>242500</v>
      </c>
      <c r="D502" s="14">
        <v>248000</v>
      </c>
      <c r="E502" s="14">
        <v>242000</v>
      </c>
      <c r="F502" t="s">
        <v>518</v>
      </c>
      <c r="G502" s="15">
        <v>-3.7499999999999999E-2</v>
      </c>
    </row>
    <row r="503" spans="1:7" x14ac:dyDescent="0.15">
      <c r="A503" s="86">
        <v>45505</v>
      </c>
      <c r="B503" s="18">
        <v>253500</v>
      </c>
      <c r="C503" s="14">
        <v>251000</v>
      </c>
      <c r="D503" s="14">
        <v>258500</v>
      </c>
      <c r="E503" s="14">
        <v>251000</v>
      </c>
      <c r="F503" t="s">
        <v>519</v>
      </c>
      <c r="G503" s="15">
        <v>1.8100000000000002E-2</v>
      </c>
    </row>
    <row r="504" spans="1:7" x14ac:dyDescent="0.15">
      <c r="A504" s="86">
        <v>45504</v>
      </c>
      <c r="B504" s="18">
        <v>249000</v>
      </c>
      <c r="C504" s="14">
        <v>250000</v>
      </c>
      <c r="D504" s="14">
        <v>253500</v>
      </c>
      <c r="E504" s="14">
        <v>247500</v>
      </c>
      <c r="F504" t="s">
        <v>520</v>
      </c>
      <c r="G504" s="15">
        <v>-4.0000000000000001E-3</v>
      </c>
    </row>
    <row r="505" spans="1:7" x14ac:dyDescent="0.15">
      <c r="A505" s="86">
        <v>45503</v>
      </c>
      <c r="B505" s="18">
        <v>250000</v>
      </c>
      <c r="C505" s="14">
        <v>253000</v>
      </c>
      <c r="D505" s="14">
        <v>258000</v>
      </c>
      <c r="E505" s="14">
        <v>249500</v>
      </c>
      <c r="F505" t="s">
        <v>521</v>
      </c>
      <c r="G505" s="15">
        <v>-2.1499999999999998E-2</v>
      </c>
    </row>
    <row r="506" spans="1:7" x14ac:dyDescent="0.15">
      <c r="A506" s="86">
        <v>45502</v>
      </c>
      <c r="B506" s="18">
        <v>255500</v>
      </c>
      <c r="C506" s="14">
        <v>244000</v>
      </c>
      <c r="D506" s="14">
        <v>260000</v>
      </c>
      <c r="E506" s="14">
        <v>243000</v>
      </c>
      <c r="F506" t="s">
        <v>221</v>
      </c>
      <c r="G506" s="15">
        <v>4.9299999999999997E-2</v>
      </c>
    </row>
    <row r="507" spans="1:7" x14ac:dyDescent="0.15">
      <c r="A507" s="86">
        <v>45499</v>
      </c>
      <c r="B507" s="18">
        <v>243500</v>
      </c>
      <c r="C507" s="14">
        <v>248500</v>
      </c>
      <c r="D507" s="14">
        <v>250500</v>
      </c>
      <c r="E507" s="14">
        <v>232000</v>
      </c>
      <c r="F507" t="s">
        <v>209</v>
      </c>
      <c r="G507" s="15">
        <v>-3.1800000000000002E-2</v>
      </c>
    </row>
    <row r="508" spans="1:7" x14ac:dyDescent="0.15">
      <c r="A508" s="86">
        <v>45498</v>
      </c>
      <c r="B508" s="18">
        <v>251500</v>
      </c>
      <c r="C508" s="14">
        <v>253000</v>
      </c>
      <c r="D508" s="14">
        <v>255000</v>
      </c>
      <c r="E508" s="14">
        <v>247500</v>
      </c>
      <c r="F508" t="s">
        <v>522</v>
      </c>
      <c r="G508" s="15">
        <v>-2.7099999999999999E-2</v>
      </c>
    </row>
    <row r="509" spans="1:7" x14ac:dyDescent="0.15">
      <c r="A509" s="86">
        <v>45497</v>
      </c>
      <c r="B509" s="18">
        <v>258500</v>
      </c>
      <c r="C509" s="14">
        <v>259500</v>
      </c>
      <c r="D509" s="14">
        <v>263500</v>
      </c>
      <c r="E509" s="14">
        <v>257500</v>
      </c>
      <c r="F509" t="s">
        <v>523</v>
      </c>
      <c r="G509" s="15">
        <v>-1.9E-2</v>
      </c>
    </row>
    <row r="510" spans="1:7" x14ac:dyDescent="0.15">
      <c r="A510" s="86">
        <v>45496</v>
      </c>
      <c r="B510" s="18">
        <v>263500</v>
      </c>
      <c r="C510" s="14">
        <v>258000</v>
      </c>
      <c r="D510" s="14">
        <v>264500</v>
      </c>
      <c r="E510" s="14">
        <v>257500</v>
      </c>
      <c r="F510" t="s">
        <v>524</v>
      </c>
      <c r="G510" s="15">
        <v>3.3300000000000003E-2</v>
      </c>
    </row>
    <row r="511" spans="1:7" x14ac:dyDescent="0.15">
      <c r="A511" s="86">
        <v>45495</v>
      </c>
      <c r="B511" s="18">
        <v>255000</v>
      </c>
      <c r="C511" s="14">
        <v>259000</v>
      </c>
      <c r="D511" s="14">
        <v>261500</v>
      </c>
      <c r="E511" s="14">
        <v>251000</v>
      </c>
      <c r="F511" t="s">
        <v>525</v>
      </c>
      <c r="G511" s="15">
        <v>-1.35E-2</v>
      </c>
    </row>
    <row r="512" spans="1:7" x14ac:dyDescent="0.15">
      <c r="A512" s="86">
        <v>45492</v>
      </c>
      <c r="B512" s="18">
        <v>258500</v>
      </c>
      <c r="C512" s="14">
        <v>258500</v>
      </c>
      <c r="D512" s="14">
        <v>259500</v>
      </c>
      <c r="E512" s="14">
        <v>254000</v>
      </c>
      <c r="F512" t="s">
        <v>526</v>
      </c>
      <c r="G512" s="15">
        <v>-7.7000000000000002E-3</v>
      </c>
    </row>
    <row r="513" spans="1:7" x14ac:dyDescent="0.15">
      <c r="A513" s="86">
        <v>45491</v>
      </c>
      <c r="B513" s="18">
        <v>260500</v>
      </c>
      <c r="C513" s="14">
        <v>267000</v>
      </c>
      <c r="D513" s="14">
        <v>267500</v>
      </c>
      <c r="E513" s="14">
        <v>256500</v>
      </c>
      <c r="F513" t="s">
        <v>91</v>
      </c>
      <c r="G513" s="15">
        <v>-2.98E-2</v>
      </c>
    </row>
    <row r="514" spans="1:7" x14ac:dyDescent="0.15">
      <c r="A514" s="86">
        <v>45490</v>
      </c>
      <c r="B514" s="18">
        <v>268500</v>
      </c>
      <c r="C514" s="14">
        <v>275500</v>
      </c>
      <c r="D514" s="14">
        <v>275500</v>
      </c>
      <c r="E514" s="14">
        <v>268000</v>
      </c>
      <c r="F514" t="s">
        <v>527</v>
      </c>
      <c r="G514" s="15">
        <v>-2.1899999999999999E-2</v>
      </c>
    </row>
    <row r="515" spans="1:7" x14ac:dyDescent="0.15">
      <c r="A515" s="86">
        <v>45489</v>
      </c>
      <c r="B515" s="18">
        <v>274500</v>
      </c>
      <c r="C515" s="14">
        <v>270500</v>
      </c>
      <c r="D515" s="14">
        <v>276000</v>
      </c>
      <c r="E515" s="14">
        <v>270000</v>
      </c>
      <c r="F515" t="s">
        <v>528</v>
      </c>
      <c r="G515" s="15">
        <v>2.23E-2</v>
      </c>
    </row>
    <row r="516" spans="1:7" x14ac:dyDescent="0.15">
      <c r="A516" s="86">
        <v>45488</v>
      </c>
      <c r="B516" s="18">
        <v>268500</v>
      </c>
      <c r="C516" s="14">
        <v>273000</v>
      </c>
      <c r="D516" s="14">
        <v>273500</v>
      </c>
      <c r="E516" s="14">
        <v>267500</v>
      </c>
      <c r="F516" t="s">
        <v>529</v>
      </c>
      <c r="G516" s="15">
        <v>-1.0999999999999999E-2</v>
      </c>
    </row>
    <row r="517" spans="1:7" x14ac:dyDescent="0.15">
      <c r="A517" s="86">
        <v>45485</v>
      </c>
      <c r="B517" s="18">
        <v>271500</v>
      </c>
      <c r="C517" s="14">
        <v>277500</v>
      </c>
      <c r="D517" s="14">
        <v>278500</v>
      </c>
      <c r="E517" s="14">
        <v>268000</v>
      </c>
      <c r="F517" t="s">
        <v>530</v>
      </c>
      <c r="G517" s="15">
        <v>-2.5100000000000001E-2</v>
      </c>
    </row>
    <row r="518" spans="1:7" x14ac:dyDescent="0.15">
      <c r="A518" s="86">
        <v>45484</v>
      </c>
      <c r="B518" s="18">
        <v>278500</v>
      </c>
      <c r="C518" s="14">
        <v>277000</v>
      </c>
      <c r="D518" s="14">
        <v>278500</v>
      </c>
      <c r="E518" s="14">
        <v>274500</v>
      </c>
      <c r="F518" t="s">
        <v>531</v>
      </c>
      <c r="G518" s="15">
        <v>1.46E-2</v>
      </c>
    </row>
    <row r="519" spans="1:7" x14ac:dyDescent="0.15">
      <c r="A519" s="86">
        <v>45483</v>
      </c>
      <c r="B519" s="18">
        <v>274500</v>
      </c>
      <c r="C519" s="14">
        <v>275000</v>
      </c>
      <c r="D519" s="14">
        <v>277500</v>
      </c>
      <c r="E519" s="14">
        <v>272500</v>
      </c>
      <c r="F519" t="s">
        <v>532</v>
      </c>
      <c r="G519" s="15">
        <v>0</v>
      </c>
    </row>
    <row r="520" spans="1:7" x14ac:dyDescent="0.15">
      <c r="A520" s="86">
        <v>45482</v>
      </c>
      <c r="B520" s="18">
        <v>274500</v>
      </c>
      <c r="C520" s="14">
        <v>284000</v>
      </c>
      <c r="D520" s="14">
        <v>285500</v>
      </c>
      <c r="E520" s="14">
        <v>272500</v>
      </c>
      <c r="F520" t="s">
        <v>106</v>
      </c>
      <c r="G520" s="15">
        <v>-0.03</v>
      </c>
    </row>
    <row r="521" spans="1:7" x14ac:dyDescent="0.15">
      <c r="A521" s="86">
        <v>45481</v>
      </c>
      <c r="B521" s="18">
        <v>283000</v>
      </c>
      <c r="C521" s="14">
        <v>282000</v>
      </c>
      <c r="D521" s="14">
        <v>289500</v>
      </c>
      <c r="E521" s="14">
        <v>281000</v>
      </c>
      <c r="F521" t="s">
        <v>533</v>
      </c>
      <c r="G521" s="15">
        <v>7.1000000000000004E-3</v>
      </c>
    </row>
    <row r="522" spans="1:7" x14ac:dyDescent="0.15">
      <c r="A522" s="86">
        <v>45478</v>
      </c>
      <c r="B522" s="18">
        <v>281000</v>
      </c>
      <c r="C522" s="14">
        <v>277500</v>
      </c>
      <c r="D522" s="14">
        <v>282000</v>
      </c>
      <c r="E522" s="14">
        <v>277000</v>
      </c>
      <c r="F522" t="s">
        <v>534</v>
      </c>
      <c r="G522" s="15">
        <v>1.26E-2</v>
      </c>
    </row>
    <row r="523" spans="1:7" x14ac:dyDescent="0.15">
      <c r="A523" s="86">
        <v>45477</v>
      </c>
      <c r="B523" s="18">
        <v>277500</v>
      </c>
      <c r="C523" s="14">
        <v>277500</v>
      </c>
      <c r="D523" s="14">
        <v>281000</v>
      </c>
      <c r="E523" s="14">
        <v>274500</v>
      </c>
      <c r="F523" t="s">
        <v>535</v>
      </c>
      <c r="G523" s="15">
        <v>5.4000000000000003E-3</v>
      </c>
    </row>
    <row r="524" spans="1:7" x14ac:dyDescent="0.15">
      <c r="A524" s="86">
        <v>45476</v>
      </c>
      <c r="B524" s="18">
        <v>276000</v>
      </c>
      <c r="C524" s="14">
        <v>275000</v>
      </c>
      <c r="D524" s="14">
        <v>281500</v>
      </c>
      <c r="E524" s="14">
        <v>272500</v>
      </c>
      <c r="F524" t="s">
        <v>416</v>
      </c>
      <c r="G524" s="15">
        <v>1.2800000000000001E-2</v>
      </c>
    </row>
    <row r="525" spans="1:7" x14ac:dyDescent="0.15">
      <c r="A525" s="86">
        <v>45475</v>
      </c>
      <c r="B525" s="18">
        <v>272500</v>
      </c>
      <c r="C525" s="14">
        <v>283000</v>
      </c>
      <c r="D525" s="14">
        <v>283500</v>
      </c>
      <c r="E525" s="14">
        <v>271000</v>
      </c>
      <c r="F525" t="s">
        <v>536</v>
      </c>
      <c r="G525" s="15">
        <v>-4.7199999999999999E-2</v>
      </c>
    </row>
    <row r="526" spans="1:7" x14ac:dyDescent="0.15">
      <c r="A526" s="86">
        <v>45474</v>
      </c>
      <c r="B526" s="18">
        <v>286000</v>
      </c>
      <c r="C526" s="14">
        <v>292000</v>
      </c>
      <c r="D526" s="14">
        <v>296000</v>
      </c>
      <c r="E526" s="14">
        <v>285500</v>
      </c>
      <c r="F526" t="s">
        <v>537</v>
      </c>
      <c r="G526" s="15">
        <v>-3.0499999999999999E-2</v>
      </c>
    </row>
    <row r="527" spans="1:7" x14ac:dyDescent="0.15">
      <c r="A527" s="86">
        <v>45471</v>
      </c>
      <c r="B527" s="18">
        <v>295000</v>
      </c>
      <c r="C527" s="14">
        <v>299500</v>
      </c>
      <c r="D527" s="14">
        <v>299500</v>
      </c>
      <c r="E527" s="14">
        <v>293000</v>
      </c>
      <c r="F527" t="s">
        <v>538</v>
      </c>
      <c r="G527" s="15">
        <v>-1.01E-2</v>
      </c>
    </row>
    <row r="528" spans="1:7" x14ac:dyDescent="0.15">
      <c r="A528" s="86">
        <v>45470</v>
      </c>
      <c r="B528" s="18">
        <v>298000</v>
      </c>
      <c r="C528" s="14">
        <v>287000</v>
      </c>
      <c r="D528" s="14">
        <v>298500</v>
      </c>
      <c r="E528" s="14">
        <v>286500</v>
      </c>
      <c r="F528" t="s">
        <v>150</v>
      </c>
      <c r="G528" s="15">
        <v>2.9399999999999999E-2</v>
      </c>
    </row>
    <row r="529" spans="1:7" x14ac:dyDescent="0.15">
      <c r="A529" s="86">
        <v>45469</v>
      </c>
      <c r="B529" s="18">
        <v>289500</v>
      </c>
      <c r="C529" s="14">
        <v>289000</v>
      </c>
      <c r="D529" s="14">
        <v>293500</v>
      </c>
      <c r="E529" s="14">
        <v>286500</v>
      </c>
      <c r="F529" t="s">
        <v>539</v>
      </c>
      <c r="G529" s="15">
        <v>3.5000000000000001E-3</v>
      </c>
    </row>
    <row r="530" spans="1:7" x14ac:dyDescent="0.15">
      <c r="A530" s="86">
        <v>45468</v>
      </c>
      <c r="B530" s="18">
        <v>288500</v>
      </c>
      <c r="C530" s="14">
        <v>281000</v>
      </c>
      <c r="D530" s="14">
        <v>292500</v>
      </c>
      <c r="E530" s="14">
        <v>280000</v>
      </c>
      <c r="F530" t="s">
        <v>502</v>
      </c>
      <c r="G530" s="15">
        <v>2.6700000000000002E-2</v>
      </c>
    </row>
    <row r="531" spans="1:7" x14ac:dyDescent="0.15">
      <c r="A531" s="86">
        <v>45467</v>
      </c>
      <c r="B531" s="18">
        <v>281000</v>
      </c>
      <c r="C531" s="14">
        <v>277000</v>
      </c>
      <c r="D531" s="14">
        <v>283000</v>
      </c>
      <c r="E531" s="14">
        <v>275500</v>
      </c>
      <c r="F531" t="s">
        <v>540</v>
      </c>
      <c r="G531" s="15">
        <v>3.5999999999999999E-3</v>
      </c>
    </row>
    <row r="532" spans="1:7" x14ac:dyDescent="0.15">
      <c r="A532" s="86">
        <v>45464</v>
      </c>
      <c r="B532" s="18">
        <v>280000</v>
      </c>
      <c r="C532" s="14">
        <v>283500</v>
      </c>
      <c r="D532" s="14">
        <v>285000</v>
      </c>
      <c r="E532" s="14">
        <v>279000</v>
      </c>
      <c r="F532" t="s">
        <v>541</v>
      </c>
      <c r="G532" s="15">
        <v>-1.9300000000000001E-2</v>
      </c>
    </row>
    <row r="533" spans="1:7" x14ac:dyDescent="0.15">
      <c r="A533" s="86">
        <v>45463</v>
      </c>
      <c r="B533" s="18">
        <v>285500</v>
      </c>
      <c r="C533" s="14">
        <v>285500</v>
      </c>
      <c r="D533" s="14">
        <v>288000</v>
      </c>
      <c r="E533" s="14">
        <v>282500</v>
      </c>
      <c r="F533" t="s">
        <v>542</v>
      </c>
      <c r="G533" s="15">
        <v>-3.5000000000000001E-3</v>
      </c>
    </row>
    <row r="534" spans="1:7" x14ac:dyDescent="0.15">
      <c r="A534" s="86">
        <v>45462</v>
      </c>
      <c r="B534" s="18">
        <v>286500</v>
      </c>
      <c r="C534" s="14">
        <v>286500</v>
      </c>
      <c r="D534" s="14">
        <v>292500</v>
      </c>
      <c r="E534" s="14">
        <v>284000</v>
      </c>
      <c r="F534" t="s">
        <v>154</v>
      </c>
      <c r="G534" s="15">
        <v>1.24E-2</v>
      </c>
    </row>
    <row r="535" spans="1:7" x14ac:dyDescent="0.15">
      <c r="A535" s="86">
        <v>45461</v>
      </c>
      <c r="B535" s="18">
        <v>283000</v>
      </c>
      <c r="C535" s="14">
        <v>280500</v>
      </c>
      <c r="D535" s="14">
        <v>290000</v>
      </c>
      <c r="E535" s="14">
        <v>278500</v>
      </c>
      <c r="F535" t="s">
        <v>504</v>
      </c>
      <c r="G535" s="15">
        <v>1.6199999999999999E-2</v>
      </c>
    </row>
    <row r="536" spans="1:7" x14ac:dyDescent="0.15">
      <c r="A536" s="86">
        <v>45460</v>
      </c>
      <c r="B536" s="18">
        <v>278500</v>
      </c>
      <c r="C536" s="14">
        <v>276000</v>
      </c>
      <c r="D536" s="14">
        <v>285000</v>
      </c>
      <c r="E536" s="14">
        <v>275500</v>
      </c>
      <c r="F536" t="s">
        <v>137</v>
      </c>
      <c r="G536" s="15">
        <v>3.9199999999999999E-2</v>
      </c>
    </row>
    <row r="537" spans="1:7" x14ac:dyDescent="0.15">
      <c r="A537" s="86">
        <v>45457</v>
      </c>
      <c r="B537" s="18">
        <v>268000</v>
      </c>
      <c r="C537" s="14">
        <v>268500</v>
      </c>
      <c r="D537" s="14">
        <v>274000</v>
      </c>
      <c r="E537" s="14">
        <v>267000</v>
      </c>
      <c r="F537" t="s">
        <v>543</v>
      </c>
      <c r="G537" s="15">
        <v>-3.7000000000000002E-3</v>
      </c>
    </row>
    <row r="538" spans="1:7" x14ac:dyDescent="0.15">
      <c r="A538" s="86">
        <v>45456</v>
      </c>
      <c r="B538" s="18">
        <v>269000</v>
      </c>
      <c r="C538" s="14">
        <v>273000</v>
      </c>
      <c r="D538" s="14">
        <v>281000</v>
      </c>
      <c r="E538" s="14">
        <v>269000</v>
      </c>
      <c r="F538" t="s">
        <v>544</v>
      </c>
      <c r="G538" s="15">
        <v>-3.7000000000000002E-3</v>
      </c>
    </row>
    <row r="539" spans="1:7" x14ac:dyDescent="0.15">
      <c r="A539" s="86">
        <v>45455</v>
      </c>
      <c r="B539" s="18">
        <v>270000</v>
      </c>
      <c r="C539" s="14">
        <v>273000</v>
      </c>
      <c r="D539" s="14">
        <v>273000</v>
      </c>
      <c r="E539" s="14">
        <v>268000</v>
      </c>
      <c r="F539" t="s">
        <v>545</v>
      </c>
      <c r="G539" s="15">
        <v>-3.7000000000000002E-3</v>
      </c>
    </row>
    <row r="540" spans="1:7" x14ac:dyDescent="0.15">
      <c r="A540" s="86">
        <v>45454</v>
      </c>
      <c r="B540" s="18">
        <v>271000</v>
      </c>
      <c r="C540" s="14">
        <v>270500</v>
      </c>
      <c r="D540" s="14">
        <v>273500</v>
      </c>
      <c r="E540" s="14">
        <v>267500</v>
      </c>
      <c r="F540" t="s">
        <v>546</v>
      </c>
      <c r="G540" s="15">
        <v>1.3100000000000001E-2</v>
      </c>
    </row>
    <row r="541" spans="1:7" x14ac:dyDescent="0.15">
      <c r="A541" s="86">
        <v>45453</v>
      </c>
      <c r="B541" s="18">
        <v>267500</v>
      </c>
      <c r="C541" s="14">
        <v>261500</v>
      </c>
      <c r="D541" s="14">
        <v>271500</v>
      </c>
      <c r="E541" s="14">
        <v>261000</v>
      </c>
      <c r="F541" t="s">
        <v>547</v>
      </c>
      <c r="G541" s="15">
        <v>9.4000000000000004E-3</v>
      </c>
    </row>
    <row r="542" spans="1:7" x14ac:dyDescent="0.15">
      <c r="A542" s="86">
        <v>45450</v>
      </c>
      <c r="B542" s="18">
        <v>265000</v>
      </c>
      <c r="C542" s="14">
        <v>262500</v>
      </c>
      <c r="D542" s="14">
        <v>266500</v>
      </c>
      <c r="E542" s="14">
        <v>261500</v>
      </c>
      <c r="F542" t="s">
        <v>548</v>
      </c>
      <c r="G542" s="15">
        <v>3.8E-3</v>
      </c>
    </row>
    <row r="543" spans="1:7" x14ac:dyDescent="0.15">
      <c r="A543" s="86">
        <v>45448</v>
      </c>
      <c r="B543" s="18">
        <v>264000</v>
      </c>
      <c r="C543" s="14">
        <v>261000</v>
      </c>
      <c r="D543" s="14">
        <v>267500</v>
      </c>
      <c r="E543" s="14">
        <v>256500</v>
      </c>
      <c r="F543" t="s">
        <v>549</v>
      </c>
      <c r="G543" s="15">
        <v>1.9300000000000001E-2</v>
      </c>
    </row>
    <row r="544" spans="1:7" x14ac:dyDescent="0.15">
      <c r="A544" s="86">
        <v>45447</v>
      </c>
      <c r="B544" s="18">
        <v>259000</v>
      </c>
      <c r="C544" s="14">
        <v>262500</v>
      </c>
      <c r="D544" s="14">
        <v>265500</v>
      </c>
      <c r="E544" s="14">
        <v>258000</v>
      </c>
      <c r="F544" t="s">
        <v>550</v>
      </c>
      <c r="G544" s="15">
        <v>-2.2599999999999999E-2</v>
      </c>
    </row>
    <row r="545" spans="1:7" x14ac:dyDescent="0.15">
      <c r="A545" s="86">
        <v>45446</v>
      </c>
      <c r="B545" s="18">
        <v>265000</v>
      </c>
      <c r="C545" s="14">
        <v>257500</v>
      </c>
      <c r="D545" s="14">
        <v>270000</v>
      </c>
      <c r="E545" s="14">
        <v>257000</v>
      </c>
      <c r="F545" t="s">
        <v>551</v>
      </c>
      <c r="G545" s="15">
        <v>4.7399999999999998E-2</v>
      </c>
    </row>
    <row r="546" spans="1:7" x14ac:dyDescent="0.15">
      <c r="A546" s="86">
        <v>45443</v>
      </c>
      <c r="B546" s="18">
        <v>253000</v>
      </c>
      <c r="C546" s="14">
        <v>259500</v>
      </c>
      <c r="D546" s="14">
        <v>260000</v>
      </c>
      <c r="E546" s="14">
        <v>253000</v>
      </c>
      <c r="F546" t="s">
        <v>552</v>
      </c>
      <c r="G546" s="15">
        <v>-1.5599999999999999E-2</v>
      </c>
    </row>
    <row r="547" spans="1:7" x14ac:dyDescent="0.15">
      <c r="A547" s="86">
        <v>45442</v>
      </c>
      <c r="B547" s="18">
        <v>257000</v>
      </c>
      <c r="C547" s="14">
        <v>260500</v>
      </c>
      <c r="D547" s="14">
        <v>264000</v>
      </c>
      <c r="E547" s="14">
        <v>255500</v>
      </c>
      <c r="F547" t="s">
        <v>553</v>
      </c>
      <c r="G547" s="15">
        <v>-1.5299999999999999E-2</v>
      </c>
    </row>
    <row r="548" spans="1:7" x14ac:dyDescent="0.15">
      <c r="A548" s="86">
        <v>45441</v>
      </c>
      <c r="B548" s="18">
        <v>261000</v>
      </c>
      <c r="C548" s="14">
        <v>262500</v>
      </c>
      <c r="D548" s="14">
        <v>265000</v>
      </c>
      <c r="E548" s="14">
        <v>257000</v>
      </c>
      <c r="F548" t="s">
        <v>554</v>
      </c>
      <c r="G548" s="15">
        <v>-1.5100000000000001E-2</v>
      </c>
    </row>
    <row r="549" spans="1:7" x14ac:dyDescent="0.15">
      <c r="A549" s="86">
        <v>45440</v>
      </c>
      <c r="B549" s="18">
        <v>265000</v>
      </c>
      <c r="C549" s="14">
        <v>265000</v>
      </c>
      <c r="D549" s="14">
        <v>270000</v>
      </c>
      <c r="E549" s="14">
        <v>263500</v>
      </c>
      <c r="F549" t="s">
        <v>555</v>
      </c>
      <c r="G549" s="15">
        <v>-1.9E-3</v>
      </c>
    </row>
    <row r="550" spans="1:7" x14ac:dyDescent="0.15">
      <c r="A550" s="86">
        <v>45439</v>
      </c>
      <c r="B550" s="18">
        <v>265500</v>
      </c>
      <c r="C550" s="14">
        <v>267500</v>
      </c>
      <c r="D550" s="14">
        <v>271500</v>
      </c>
      <c r="E550" s="14">
        <v>262000</v>
      </c>
      <c r="F550" t="s">
        <v>556</v>
      </c>
      <c r="G550" s="15">
        <v>-7.4999999999999997E-3</v>
      </c>
    </row>
    <row r="551" spans="1:7" x14ac:dyDescent="0.15">
      <c r="A551" s="86">
        <v>45436</v>
      </c>
      <c r="B551" s="18">
        <v>267500</v>
      </c>
      <c r="C551" s="14">
        <v>268500</v>
      </c>
      <c r="D551" s="14">
        <v>274500</v>
      </c>
      <c r="E551" s="14">
        <v>266000</v>
      </c>
      <c r="F551" t="s">
        <v>123</v>
      </c>
      <c r="G551" s="15">
        <v>-1.47E-2</v>
      </c>
    </row>
    <row r="552" spans="1:7" x14ac:dyDescent="0.15">
      <c r="A552" s="86">
        <v>45435</v>
      </c>
      <c r="B552" s="18">
        <v>271500</v>
      </c>
      <c r="C552" s="14">
        <v>273500</v>
      </c>
      <c r="D552" s="14">
        <v>275000</v>
      </c>
      <c r="E552" s="14">
        <v>267500</v>
      </c>
      <c r="F552" t="s">
        <v>117</v>
      </c>
      <c r="G552" s="15">
        <v>-1.9900000000000001E-2</v>
      </c>
    </row>
    <row r="553" spans="1:7" x14ac:dyDescent="0.15">
      <c r="A553" s="86">
        <v>45434</v>
      </c>
      <c r="B553" s="18">
        <v>277000</v>
      </c>
      <c r="C553" s="14">
        <v>253000</v>
      </c>
      <c r="D553" s="14">
        <v>277500</v>
      </c>
      <c r="E553" s="14">
        <v>251000</v>
      </c>
      <c r="F553" t="s">
        <v>557</v>
      </c>
      <c r="G553" s="15">
        <v>9.4899999999999998E-2</v>
      </c>
    </row>
    <row r="554" spans="1:7" x14ac:dyDescent="0.15">
      <c r="A554" s="86">
        <v>45433</v>
      </c>
      <c r="B554" s="18">
        <v>253000</v>
      </c>
      <c r="C554" s="14">
        <v>249000</v>
      </c>
      <c r="D554" s="14">
        <v>254000</v>
      </c>
      <c r="E554" s="14">
        <v>248000</v>
      </c>
      <c r="F554" t="s">
        <v>558</v>
      </c>
      <c r="G554" s="15">
        <v>0.01</v>
      </c>
    </row>
    <row r="555" spans="1:7" x14ac:dyDescent="0.15">
      <c r="A555" s="86">
        <v>45432</v>
      </c>
      <c r="B555" s="18">
        <v>250500</v>
      </c>
      <c r="C555" s="14">
        <v>245500</v>
      </c>
      <c r="D555" s="14">
        <v>255000</v>
      </c>
      <c r="E555" s="14">
        <v>244500</v>
      </c>
      <c r="F555" t="s">
        <v>559</v>
      </c>
      <c r="G555" s="15">
        <v>2.6599999999999999E-2</v>
      </c>
    </row>
    <row r="556" spans="1:7" x14ac:dyDescent="0.15">
      <c r="A556" s="86">
        <v>45429</v>
      </c>
      <c r="B556" s="18">
        <v>244000</v>
      </c>
      <c r="C556" s="14">
        <v>247000</v>
      </c>
      <c r="D556" s="14">
        <v>249500</v>
      </c>
      <c r="E556" s="14">
        <v>244000</v>
      </c>
      <c r="F556" t="s">
        <v>560</v>
      </c>
      <c r="G556" s="15">
        <v>-1.21E-2</v>
      </c>
    </row>
    <row r="557" spans="1:7" x14ac:dyDescent="0.15">
      <c r="A557" s="86">
        <v>45428</v>
      </c>
      <c r="B557" s="18">
        <v>247000</v>
      </c>
      <c r="C557" s="14">
        <v>248000</v>
      </c>
      <c r="D557" s="14">
        <v>248500</v>
      </c>
      <c r="E557" s="14">
        <v>245500</v>
      </c>
      <c r="F557" t="s">
        <v>561</v>
      </c>
      <c r="G557" s="15">
        <v>2E-3</v>
      </c>
    </row>
    <row r="558" spans="1:7" x14ac:dyDescent="0.15">
      <c r="A558" s="86">
        <v>45426</v>
      </c>
      <c r="B558" s="18">
        <v>246500</v>
      </c>
      <c r="C558" s="14">
        <v>245500</v>
      </c>
      <c r="D558" s="14">
        <v>247000</v>
      </c>
      <c r="E558" s="14">
        <v>243000</v>
      </c>
      <c r="F558" t="s">
        <v>562</v>
      </c>
      <c r="G558" s="15">
        <v>6.1000000000000004E-3</v>
      </c>
    </row>
    <row r="559" spans="1:7" x14ac:dyDescent="0.15">
      <c r="A559" s="86">
        <v>45425</v>
      </c>
      <c r="B559" s="18">
        <v>245000</v>
      </c>
      <c r="C559" s="14">
        <v>242500</v>
      </c>
      <c r="D559" s="14">
        <v>247500</v>
      </c>
      <c r="E559" s="14">
        <v>242000</v>
      </c>
      <c r="F559" t="s">
        <v>563</v>
      </c>
      <c r="G559" s="15">
        <v>1.4500000000000001E-2</v>
      </c>
    </row>
    <row r="560" spans="1:7" x14ac:dyDescent="0.15">
      <c r="A560" s="86">
        <v>45422</v>
      </c>
      <c r="B560" s="18">
        <v>241500</v>
      </c>
      <c r="C560" s="14">
        <v>239000</v>
      </c>
      <c r="D560" s="14">
        <v>243000</v>
      </c>
      <c r="E560" s="14">
        <v>237000</v>
      </c>
      <c r="F560" t="s">
        <v>564</v>
      </c>
      <c r="G560" s="15">
        <v>1.9E-2</v>
      </c>
    </row>
    <row r="561" spans="1:7" x14ac:dyDescent="0.15">
      <c r="A561" s="86">
        <v>45421</v>
      </c>
      <c r="B561" s="18">
        <v>237000</v>
      </c>
      <c r="C561" s="14">
        <v>242000</v>
      </c>
      <c r="D561" s="14">
        <v>242500</v>
      </c>
      <c r="E561" s="14">
        <v>235000</v>
      </c>
      <c r="F561" t="s">
        <v>565</v>
      </c>
      <c r="G561" s="15">
        <v>-2.07E-2</v>
      </c>
    </row>
    <row r="562" spans="1:7" x14ac:dyDescent="0.15">
      <c r="A562" s="86">
        <v>45420</v>
      </c>
      <c r="B562" s="18">
        <v>242000</v>
      </c>
      <c r="C562" s="14">
        <v>240500</v>
      </c>
      <c r="D562" s="14">
        <v>244000</v>
      </c>
      <c r="E562" s="14">
        <v>240000</v>
      </c>
      <c r="F562" t="s">
        <v>566</v>
      </c>
      <c r="G562" s="15">
        <v>0</v>
      </c>
    </row>
    <row r="563" spans="1:7" x14ac:dyDescent="0.15">
      <c r="A563" s="86">
        <v>45419</v>
      </c>
      <c r="B563" s="18">
        <v>242000</v>
      </c>
      <c r="C563" s="14">
        <v>242500</v>
      </c>
      <c r="D563" s="14">
        <v>246000</v>
      </c>
      <c r="E563" s="14">
        <v>240000</v>
      </c>
      <c r="F563" t="s">
        <v>567</v>
      </c>
      <c r="G563" s="15">
        <v>4.1000000000000003E-3</v>
      </c>
    </row>
    <row r="564" spans="1:7" x14ac:dyDescent="0.15">
      <c r="A564" s="86">
        <v>45415</v>
      </c>
      <c r="B564" s="18">
        <v>241000</v>
      </c>
      <c r="C564" s="14">
        <v>250000</v>
      </c>
      <c r="D564" s="14">
        <v>250500</v>
      </c>
      <c r="E564" s="14">
        <v>241000</v>
      </c>
      <c r="F564" t="s">
        <v>568</v>
      </c>
      <c r="G564" s="15">
        <v>-3.2099999999999997E-2</v>
      </c>
    </row>
    <row r="565" spans="1:7" x14ac:dyDescent="0.15">
      <c r="A565" s="86">
        <v>45414</v>
      </c>
      <c r="B565" s="18">
        <v>249000</v>
      </c>
      <c r="C565" s="14">
        <v>249000</v>
      </c>
      <c r="D565" s="14">
        <v>251500</v>
      </c>
      <c r="E565" s="14">
        <v>246500</v>
      </c>
      <c r="F565" t="s">
        <v>569</v>
      </c>
      <c r="G565" s="15">
        <v>-8.0000000000000002E-3</v>
      </c>
    </row>
    <row r="566" spans="1:7" x14ac:dyDescent="0.15">
      <c r="A566" s="86">
        <v>45412</v>
      </c>
      <c r="B566" s="18">
        <v>251000</v>
      </c>
      <c r="C566" s="14">
        <v>250000</v>
      </c>
      <c r="D566" s="14">
        <v>253000</v>
      </c>
      <c r="E566" s="14">
        <v>248000</v>
      </c>
      <c r="F566" t="s">
        <v>570</v>
      </c>
      <c r="G566" s="15">
        <v>-2E-3</v>
      </c>
    </row>
    <row r="567" spans="1:7" x14ac:dyDescent="0.15">
      <c r="A567" s="86">
        <v>45411</v>
      </c>
      <c r="B567" s="18">
        <v>251500</v>
      </c>
      <c r="C567" s="14">
        <v>249000</v>
      </c>
      <c r="D567" s="14">
        <v>254500</v>
      </c>
      <c r="E567" s="14">
        <v>245500</v>
      </c>
      <c r="F567" t="s">
        <v>571</v>
      </c>
      <c r="G567" s="15">
        <v>8.0000000000000002E-3</v>
      </c>
    </row>
    <row r="568" spans="1:7" x14ac:dyDescent="0.15">
      <c r="A568" s="86">
        <v>45408</v>
      </c>
      <c r="B568" s="18">
        <v>249500</v>
      </c>
      <c r="C568" s="14">
        <v>250000</v>
      </c>
      <c r="D568" s="14">
        <v>253500</v>
      </c>
      <c r="E568" s="14">
        <v>243000</v>
      </c>
      <c r="F568" t="s">
        <v>572</v>
      </c>
      <c r="G568" s="15">
        <v>-2E-3</v>
      </c>
    </row>
    <row r="569" spans="1:7" x14ac:dyDescent="0.15">
      <c r="A569" s="86">
        <v>45407</v>
      </c>
      <c r="B569" s="18">
        <v>250000</v>
      </c>
      <c r="C569" s="14">
        <v>251000</v>
      </c>
      <c r="D569" s="14">
        <v>254000</v>
      </c>
      <c r="E569" s="14">
        <v>246000</v>
      </c>
      <c r="F569" t="s">
        <v>103</v>
      </c>
      <c r="G569" s="15">
        <v>-9.9000000000000008E-3</v>
      </c>
    </row>
    <row r="570" spans="1:7" x14ac:dyDescent="0.15">
      <c r="A570" s="86">
        <v>45406</v>
      </c>
      <c r="B570" s="18">
        <v>252500</v>
      </c>
      <c r="C570" s="14">
        <v>249000</v>
      </c>
      <c r="D570" s="14">
        <v>253500</v>
      </c>
      <c r="E570" s="14">
        <v>247500</v>
      </c>
      <c r="F570" t="s">
        <v>116</v>
      </c>
      <c r="G570" s="15">
        <v>1.2E-2</v>
      </c>
    </row>
    <row r="571" spans="1:7" x14ac:dyDescent="0.15">
      <c r="A571" s="86">
        <v>45405</v>
      </c>
      <c r="B571" s="18">
        <v>249500</v>
      </c>
      <c r="C571" s="14">
        <v>250000</v>
      </c>
      <c r="D571" s="14">
        <v>251500</v>
      </c>
      <c r="E571" s="14">
        <v>246000</v>
      </c>
      <c r="F571" t="s">
        <v>573</v>
      </c>
      <c r="G571" s="15">
        <v>1.84E-2</v>
      </c>
    </row>
    <row r="572" spans="1:7" x14ac:dyDescent="0.15">
      <c r="A572" s="86">
        <v>45404</v>
      </c>
      <c r="B572" s="18">
        <v>245000</v>
      </c>
      <c r="C572" s="14">
        <v>240000</v>
      </c>
      <c r="D572" s="14">
        <v>246000</v>
      </c>
      <c r="E572" s="14">
        <v>239500</v>
      </c>
      <c r="F572" t="s">
        <v>574</v>
      </c>
      <c r="G572" s="15">
        <v>4.2599999999999999E-2</v>
      </c>
    </row>
    <row r="573" spans="1:7" x14ac:dyDescent="0.15">
      <c r="A573" s="86">
        <v>45401</v>
      </c>
      <c r="B573" s="18">
        <v>235000</v>
      </c>
      <c r="C573" s="14">
        <v>231000</v>
      </c>
      <c r="D573" s="14">
        <v>237000</v>
      </c>
      <c r="E573" s="14">
        <v>229000</v>
      </c>
      <c r="F573" t="s">
        <v>171</v>
      </c>
      <c r="G573" s="15">
        <v>1.7299999999999999E-2</v>
      </c>
    </row>
    <row r="574" spans="1:7" x14ac:dyDescent="0.15">
      <c r="A574" s="86">
        <v>45400</v>
      </c>
      <c r="B574" s="18">
        <v>231000</v>
      </c>
      <c r="C574" s="14">
        <v>237000</v>
      </c>
      <c r="D574" s="14">
        <v>239000</v>
      </c>
      <c r="E574" s="14">
        <v>228500</v>
      </c>
      <c r="F574" t="s">
        <v>315</v>
      </c>
      <c r="G574" s="15">
        <v>-1.0699999999999999E-2</v>
      </c>
    </row>
    <row r="575" spans="1:7" x14ac:dyDescent="0.15">
      <c r="A575" s="86">
        <v>45399</v>
      </c>
      <c r="B575" s="18">
        <v>233500</v>
      </c>
      <c r="C575" s="14">
        <v>242000</v>
      </c>
      <c r="D575" s="14">
        <v>243000</v>
      </c>
      <c r="E575" s="14">
        <v>233500</v>
      </c>
      <c r="F575" t="s">
        <v>380</v>
      </c>
      <c r="G575" s="15">
        <v>-3.5099999999999999E-2</v>
      </c>
    </row>
    <row r="576" spans="1:7" x14ac:dyDescent="0.15">
      <c r="A576" s="86">
        <v>45398</v>
      </c>
      <c r="B576" s="18">
        <v>242000</v>
      </c>
      <c r="C576" s="14">
        <v>239000</v>
      </c>
      <c r="D576" s="14">
        <v>244500</v>
      </c>
      <c r="E576" s="14">
        <v>236500</v>
      </c>
      <c r="F576" t="s">
        <v>551</v>
      </c>
      <c r="G576" s="15">
        <v>2.0999999999999999E-3</v>
      </c>
    </row>
    <row r="577" spans="1:7" x14ac:dyDescent="0.15">
      <c r="A577" s="86">
        <v>45397</v>
      </c>
      <c r="B577" s="18">
        <v>241500</v>
      </c>
      <c r="C577" s="14">
        <v>236000</v>
      </c>
      <c r="D577" s="14">
        <v>243000</v>
      </c>
      <c r="E577" s="14">
        <v>233500</v>
      </c>
      <c r="F577" t="s">
        <v>556</v>
      </c>
      <c r="G577" s="15">
        <v>1.47E-2</v>
      </c>
    </row>
    <row r="578" spans="1:7" x14ac:dyDescent="0.15">
      <c r="A578" s="86">
        <v>45394</v>
      </c>
      <c r="B578" s="18">
        <v>238000</v>
      </c>
      <c r="C578" s="14">
        <v>241000</v>
      </c>
      <c r="D578" s="14">
        <v>241500</v>
      </c>
      <c r="E578" s="14">
        <v>237000</v>
      </c>
      <c r="F578" t="s">
        <v>575</v>
      </c>
      <c r="G578" s="15">
        <v>-1.24E-2</v>
      </c>
    </row>
    <row r="579" spans="1:7" x14ac:dyDescent="0.15">
      <c r="A579" s="86">
        <v>45393</v>
      </c>
      <c r="B579" s="18">
        <v>241000</v>
      </c>
      <c r="C579" s="14">
        <v>222000</v>
      </c>
      <c r="D579" s="14">
        <v>241000</v>
      </c>
      <c r="E579" s="14">
        <v>220000</v>
      </c>
      <c r="F579" t="s">
        <v>544</v>
      </c>
      <c r="G579" s="15">
        <v>5.7000000000000002E-2</v>
      </c>
    </row>
    <row r="580" spans="1:7" x14ac:dyDescent="0.15">
      <c r="A580" s="86">
        <v>45391</v>
      </c>
      <c r="B580" s="18">
        <v>228000</v>
      </c>
      <c r="C580" s="14">
        <v>234500</v>
      </c>
      <c r="D580" s="14">
        <v>236500</v>
      </c>
      <c r="E580" s="14">
        <v>228000</v>
      </c>
      <c r="F580" t="s">
        <v>576</v>
      </c>
      <c r="G580" s="15">
        <v>-1.9400000000000001E-2</v>
      </c>
    </row>
    <row r="581" spans="1:7" x14ac:dyDescent="0.15">
      <c r="A581" s="86">
        <v>45390</v>
      </c>
      <c r="B581" s="18">
        <v>232500</v>
      </c>
      <c r="C581" s="14">
        <v>227000</v>
      </c>
      <c r="D581" s="14">
        <v>238000</v>
      </c>
      <c r="E581" s="14">
        <v>226000</v>
      </c>
      <c r="F581" t="s">
        <v>223</v>
      </c>
      <c r="G581" s="15">
        <v>3.1E-2</v>
      </c>
    </row>
    <row r="582" spans="1:7" x14ac:dyDescent="0.15">
      <c r="A582" s="86">
        <v>45387</v>
      </c>
      <c r="B582" s="18">
        <v>225500</v>
      </c>
      <c r="C582" s="14">
        <v>223500</v>
      </c>
      <c r="D582" s="14">
        <v>230000</v>
      </c>
      <c r="E582" s="14">
        <v>223000</v>
      </c>
      <c r="F582" t="s">
        <v>315</v>
      </c>
      <c r="G582" s="15">
        <v>-2.2000000000000001E-3</v>
      </c>
    </row>
    <row r="583" spans="1:7" x14ac:dyDescent="0.15">
      <c r="A583" s="86">
        <v>45386</v>
      </c>
      <c r="B583" s="18">
        <v>226000</v>
      </c>
      <c r="C583" s="14">
        <v>218500</v>
      </c>
      <c r="D583" s="14">
        <v>228500</v>
      </c>
      <c r="E583" s="14">
        <v>216500</v>
      </c>
      <c r="F583" t="s">
        <v>574</v>
      </c>
      <c r="G583" s="15">
        <v>4.6300000000000001E-2</v>
      </c>
    </row>
    <row r="584" spans="1:7" x14ac:dyDescent="0.15">
      <c r="A584" s="86">
        <v>45385</v>
      </c>
      <c r="B584" s="18">
        <v>216000</v>
      </c>
      <c r="C584" s="14">
        <v>219000</v>
      </c>
      <c r="D584" s="14">
        <v>223500</v>
      </c>
      <c r="E584" s="14">
        <v>214500</v>
      </c>
      <c r="F584" t="s">
        <v>173</v>
      </c>
      <c r="G584" s="15">
        <v>-1.8200000000000001E-2</v>
      </c>
    </row>
    <row r="585" spans="1:7" x14ac:dyDescent="0.15">
      <c r="A585" s="86">
        <v>45384</v>
      </c>
      <c r="B585" s="18">
        <v>220000</v>
      </c>
      <c r="C585" s="14">
        <v>225000</v>
      </c>
      <c r="D585" s="14">
        <v>226500</v>
      </c>
      <c r="E585" s="14">
        <v>216500</v>
      </c>
      <c r="F585" t="s">
        <v>577</v>
      </c>
      <c r="G585" s="15">
        <v>-3.3000000000000002E-2</v>
      </c>
    </row>
    <row r="586" spans="1:7" x14ac:dyDescent="0.15">
      <c r="A586" s="86">
        <v>45383</v>
      </c>
      <c r="B586" s="18">
        <v>227500</v>
      </c>
      <c r="C586" s="14">
        <v>234500</v>
      </c>
      <c r="D586" s="14">
        <v>235000</v>
      </c>
      <c r="E586" s="14">
        <v>227000</v>
      </c>
      <c r="F586" t="s">
        <v>578</v>
      </c>
      <c r="G586" s="15">
        <v>-2.3599999999999999E-2</v>
      </c>
    </row>
    <row r="587" spans="1:7" x14ac:dyDescent="0.15">
      <c r="A587" s="86">
        <v>45380</v>
      </c>
      <c r="B587" s="18">
        <v>233000</v>
      </c>
      <c r="C587" s="14">
        <v>238000</v>
      </c>
      <c r="D587" s="14">
        <v>239000</v>
      </c>
      <c r="E587" s="14">
        <v>232000</v>
      </c>
      <c r="F587" t="s">
        <v>579</v>
      </c>
      <c r="G587" s="15">
        <v>-1.6899999999999998E-2</v>
      </c>
    </row>
    <row r="588" spans="1:7" x14ac:dyDescent="0.15">
      <c r="A588" s="86">
        <v>45379</v>
      </c>
      <c r="B588" s="18">
        <v>237000</v>
      </c>
      <c r="C588" s="14">
        <v>246000</v>
      </c>
      <c r="D588" s="14">
        <v>246000</v>
      </c>
      <c r="E588" s="14">
        <v>236000</v>
      </c>
      <c r="F588" t="s">
        <v>580</v>
      </c>
      <c r="G588" s="15">
        <v>-2.87E-2</v>
      </c>
    </row>
    <row r="589" spans="1:7" x14ac:dyDescent="0.15">
      <c r="A589" s="86">
        <v>45378</v>
      </c>
      <c r="B589" s="18">
        <v>244000</v>
      </c>
      <c r="C589" s="14">
        <v>241000</v>
      </c>
      <c r="D589" s="14">
        <v>247500</v>
      </c>
      <c r="E589" s="14">
        <v>240500</v>
      </c>
      <c r="F589" t="s">
        <v>581</v>
      </c>
      <c r="G589" s="15">
        <v>1.46E-2</v>
      </c>
    </row>
    <row r="590" spans="1:7" x14ac:dyDescent="0.15">
      <c r="A590" s="86">
        <v>45377</v>
      </c>
      <c r="B590" s="18">
        <v>240500</v>
      </c>
      <c r="C590" s="14">
        <v>239000</v>
      </c>
      <c r="D590" s="14">
        <v>244000</v>
      </c>
      <c r="E590" s="14">
        <v>238500</v>
      </c>
      <c r="F590" t="s">
        <v>582</v>
      </c>
      <c r="G590" s="15">
        <v>4.1999999999999997E-3</v>
      </c>
    </row>
    <row r="591" spans="1:7" x14ac:dyDescent="0.15">
      <c r="A591" s="86">
        <v>45376</v>
      </c>
      <c r="B591" s="18">
        <v>239500</v>
      </c>
      <c r="C591" s="14">
        <v>244000</v>
      </c>
      <c r="D591" s="14">
        <v>245500</v>
      </c>
      <c r="E591" s="14">
        <v>239500</v>
      </c>
      <c r="F591" t="s">
        <v>583</v>
      </c>
      <c r="G591" s="15">
        <v>-1.6400000000000001E-2</v>
      </c>
    </row>
    <row r="592" spans="1:7" x14ac:dyDescent="0.15">
      <c r="A592" s="86">
        <v>45373</v>
      </c>
      <c r="B592" s="18">
        <v>243500</v>
      </c>
      <c r="C592" s="14">
        <v>252500</v>
      </c>
      <c r="D592" s="14">
        <v>254000</v>
      </c>
      <c r="E592" s="14">
        <v>241000</v>
      </c>
      <c r="F592" t="s">
        <v>91</v>
      </c>
      <c r="G592" s="15">
        <v>-3.3700000000000001E-2</v>
      </c>
    </row>
    <row r="593" spans="1:7" x14ac:dyDescent="0.15">
      <c r="A593" s="86">
        <v>45372</v>
      </c>
      <c r="B593" s="18">
        <v>252000</v>
      </c>
      <c r="C593" s="14">
        <v>247000</v>
      </c>
      <c r="D593" s="14">
        <v>254000</v>
      </c>
      <c r="E593" s="14">
        <v>246000</v>
      </c>
      <c r="F593" t="s">
        <v>536</v>
      </c>
      <c r="G593" s="15">
        <v>4.5600000000000002E-2</v>
      </c>
    </row>
    <row r="594" spans="1:7" x14ac:dyDescent="0.15">
      <c r="A594" s="86">
        <v>45371</v>
      </c>
      <c r="B594" s="18">
        <v>241000</v>
      </c>
      <c r="C594" s="14">
        <v>240000</v>
      </c>
      <c r="D594" s="14">
        <v>246000</v>
      </c>
      <c r="E594" s="14">
        <v>237500</v>
      </c>
      <c r="F594" t="s">
        <v>154</v>
      </c>
      <c r="G594" s="15">
        <v>1.47E-2</v>
      </c>
    </row>
    <row r="595" spans="1:7" x14ac:dyDescent="0.15">
      <c r="A595" s="86">
        <v>45370</v>
      </c>
      <c r="B595" s="18">
        <v>237500</v>
      </c>
      <c r="C595" s="14">
        <v>241000</v>
      </c>
      <c r="D595" s="14">
        <v>244000</v>
      </c>
      <c r="E595" s="14">
        <v>236000</v>
      </c>
      <c r="F595" t="s">
        <v>584</v>
      </c>
      <c r="G595" s="15">
        <v>-2.06E-2</v>
      </c>
    </row>
    <row r="596" spans="1:7" x14ac:dyDescent="0.15">
      <c r="A596" s="86">
        <v>45369</v>
      </c>
      <c r="B596" s="18">
        <v>242500</v>
      </c>
      <c r="C596" s="14">
        <v>244000</v>
      </c>
      <c r="D596" s="14">
        <v>247500</v>
      </c>
      <c r="E596" s="14">
        <v>241000</v>
      </c>
      <c r="F596" t="s">
        <v>585</v>
      </c>
      <c r="G596" s="15">
        <v>-4.1000000000000003E-3</v>
      </c>
    </row>
    <row r="597" spans="1:7" x14ac:dyDescent="0.15">
      <c r="A597" s="86">
        <v>45368</v>
      </c>
      <c r="B597" s="18">
        <v>243500</v>
      </c>
      <c r="C597" s="14">
        <v>250000</v>
      </c>
      <c r="D597" s="14">
        <v>243500</v>
      </c>
      <c r="E597" s="14">
        <v>243500</v>
      </c>
      <c r="F597" t="s">
        <v>586</v>
      </c>
      <c r="G597" s="15">
        <v>0</v>
      </c>
    </row>
    <row r="598" spans="1:7" x14ac:dyDescent="0.15">
      <c r="A598" s="86">
        <v>45366</v>
      </c>
      <c r="B598" s="18">
        <v>243500</v>
      </c>
      <c r="C598" s="14">
        <v>250000</v>
      </c>
      <c r="D598" s="14">
        <v>254500</v>
      </c>
      <c r="E598" s="14">
        <v>243500</v>
      </c>
      <c r="F598" t="s">
        <v>587</v>
      </c>
      <c r="G598" s="15">
        <v>-3.1800000000000002E-2</v>
      </c>
    </row>
    <row r="599" spans="1:7" x14ac:dyDescent="0.15">
      <c r="A599" s="86">
        <v>45365</v>
      </c>
      <c r="B599" s="18">
        <v>251500</v>
      </c>
      <c r="C599" s="14">
        <v>248000</v>
      </c>
      <c r="D599" s="14">
        <v>255000</v>
      </c>
      <c r="E599" s="14">
        <v>246000</v>
      </c>
      <c r="F599" t="s">
        <v>338</v>
      </c>
      <c r="G599" s="15">
        <v>1.21E-2</v>
      </c>
    </row>
    <row r="600" spans="1:7" x14ac:dyDescent="0.15">
      <c r="A600" s="86">
        <v>45364</v>
      </c>
      <c r="B600" s="18">
        <v>248500</v>
      </c>
      <c r="C600" s="14">
        <v>243500</v>
      </c>
      <c r="D600" s="14">
        <v>250000</v>
      </c>
      <c r="E600" s="14">
        <v>241000</v>
      </c>
      <c r="F600" t="s">
        <v>124</v>
      </c>
      <c r="G600" s="15">
        <v>2.9000000000000001E-2</v>
      </c>
    </row>
    <row r="601" spans="1:7" x14ac:dyDescent="0.15">
      <c r="A601" s="86">
        <v>45363</v>
      </c>
      <c r="B601" s="18">
        <v>241500</v>
      </c>
      <c r="C601" s="14">
        <v>244000</v>
      </c>
      <c r="D601" s="14">
        <v>247000</v>
      </c>
      <c r="E601" s="14">
        <v>240000</v>
      </c>
      <c r="F601" t="s">
        <v>155</v>
      </c>
      <c r="G601" s="15">
        <v>-8.2000000000000007E-3</v>
      </c>
    </row>
    <row r="602" spans="1:7" x14ac:dyDescent="0.15">
      <c r="A602" s="86">
        <v>45362</v>
      </c>
      <c r="B602" s="18">
        <v>243500</v>
      </c>
      <c r="C602" s="14">
        <v>251000</v>
      </c>
      <c r="D602" s="14">
        <v>252500</v>
      </c>
      <c r="E602" s="14">
        <v>242000</v>
      </c>
      <c r="F602" t="s">
        <v>230</v>
      </c>
      <c r="G602" s="15">
        <v>-3.7499999999999999E-2</v>
      </c>
    </row>
    <row r="603" spans="1:7" x14ac:dyDescent="0.15">
      <c r="A603" s="86">
        <v>45361</v>
      </c>
      <c r="B603" s="18">
        <v>253000</v>
      </c>
      <c r="C603" s="14">
        <v>253000</v>
      </c>
      <c r="D603" s="14">
        <v>253000</v>
      </c>
      <c r="E603" s="14">
        <v>253000</v>
      </c>
      <c r="G603" s="15">
        <v>0</v>
      </c>
    </row>
    <row r="604" spans="1:7" x14ac:dyDescent="0.15">
      <c r="A604" s="86">
        <v>45359</v>
      </c>
      <c r="B604" s="18">
        <v>253000</v>
      </c>
      <c r="C604" s="14">
        <v>251500</v>
      </c>
      <c r="D604" s="14">
        <v>255000</v>
      </c>
      <c r="E604" s="14">
        <v>249500</v>
      </c>
      <c r="F604" t="s">
        <v>81</v>
      </c>
      <c r="G604" s="15">
        <v>1.2E-2</v>
      </c>
    </row>
    <row r="605" spans="1:7" x14ac:dyDescent="0.15">
      <c r="A605" s="86">
        <v>45358</v>
      </c>
      <c r="B605" s="18">
        <v>250000</v>
      </c>
      <c r="C605" s="14">
        <v>252500</v>
      </c>
      <c r="D605" s="14">
        <v>258000</v>
      </c>
      <c r="E605" s="14">
        <v>247500</v>
      </c>
      <c r="F605" t="s">
        <v>588</v>
      </c>
      <c r="G605" s="15">
        <v>-4.0000000000000001E-3</v>
      </c>
    </row>
    <row r="606" spans="1:7" x14ac:dyDescent="0.15">
      <c r="A606" s="86">
        <v>45357</v>
      </c>
      <c r="B606" s="18">
        <v>251000</v>
      </c>
      <c r="C606" s="14">
        <v>247000</v>
      </c>
      <c r="D606" s="14">
        <v>254000</v>
      </c>
      <c r="E606" s="14">
        <v>246000</v>
      </c>
      <c r="F606" t="s">
        <v>155</v>
      </c>
      <c r="G606" s="15">
        <v>8.0000000000000002E-3</v>
      </c>
    </row>
    <row r="607" spans="1:7" x14ac:dyDescent="0.15">
      <c r="A607" s="86">
        <v>45356</v>
      </c>
      <c r="B607" s="18">
        <v>249000</v>
      </c>
      <c r="C607" s="14">
        <v>251500</v>
      </c>
      <c r="D607" s="14">
        <v>254500</v>
      </c>
      <c r="E607" s="14">
        <v>247500</v>
      </c>
      <c r="F607" t="s">
        <v>372</v>
      </c>
      <c r="G607" s="15">
        <v>-2.5399999999999999E-2</v>
      </c>
    </row>
    <row r="608" spans="1:7" x14ac:dyDescent="0.15">
      <c r="A608" s="86">
        <v>45355</v>
      </c>
      <c r="B608" s="18">
        <v>255500</v>
      </c>
      <c r="C608" s="14">
        <v>255500</v>
      </c>
      <c r="D608" s="14">
        <v>260000</v>
      </c>
      <c r="E608" s="14">
        <v>253000</v>
      </c>
      <c r="F608" t="s">
        <v>589</v>
      </c>
      <c r="G608" s="15">
        <v>0.02</v>
      </c>
    </row>
    <row r="609" spans="1:7" x14ac:dyDescent="0.15">
      <c r="A609" s="86">
        <v>45354</v>
      </c>
      <c r="B609" s="18">
        <v>250500</v>
      </c>
      <c r="C609" s="14">
        <v>250500</v>
      </c>
      <c r="D609" s="14">
        <v>250500</v>
      </c>
      <c r="E609" s="14">
        <v>250500</v>
      </c>
      <c r="G609" s="15">
        <v>0</v>
      </c>
    </row>
    <row r="610" spans="1:7" x14ac:dyDescent="0.15">
      <c r="A610" s="86">
        <v>45351</v>
      </c>
      <c r="B610" s="18">
        <v>250500</v>
      </c>
      <c r="C610" s="14">
        <v>246500</v>
      </c>
      <c r="D610" s="14">
        <v>253500</v>
      </c>
      <c r="E610" s="14">
        <v>243500</v>
      </c>
      <c r="F610" t="s">
        <v>590</v>
      </c>
      <c r="G610" s="15">
        <v>1.01E-2</v>
      </c>
    </row>
    <row r="611" spans="1:7" x14ac:dyDescent="0.15">
      <c r="A611" s="86">
        <v>45350</v>
      </c>
      <c r="B611" s="18">
        <v>248000</v>
      </c>
      <c r="C611" s="14">
        <v>234000</v>
      </c>
      <c r="D611" s="14">
        <v>250000</v>
      </c>
      <c r="E611" s="14">
        <v>231500</v>
      </c>
      <c r="F611" t="s">
        <v>181</v>
      </c>
      <c r="G611" s="15">
        <v>3.9800000000000002E-2</v>
      </c>
    </row>
    <row r="612" spans="1:7" x14ac:dyDescent="0.15">
      <c r="A612" s="86">
        <v>45349</v>
      </c>
      <c r="B612" s="18">
        <v>238500</v>
      </c>
      <c r="C612" s="14">
        <v>239000</v>
      </c>
      <c r="D612" s="14">
        <v>244500</v>
      </c>
      <c r="E612" s="14">
        <v>237500</v>
      </c>
      <c r="F612" t="s">
        <v>116</v>
      </c>
      <c r="G612" s="15">
        <v>-2.0999999999999999E-3</v>
      </c>
    </row>
    <row r="613" spans="1:7" x14ac:dyDescent="0.15">
      <c r="A613" s="86">
        <v>45348</v>
      </c>
      <c r="B613" s="18">
        <v>239000</v>
      </c>
      <c r="C613" s="14">
        <v>237500</v>
      </c>
      <c r="D613" s="14">
        <v>241000</v>
      </c>
      <c r="E613" s="14">
        <v>231500</v>
      </c>
      <c r="F613" t="s">
        <v>591</v>
      </c>
      <c r="G613" s="15">
        <v>-2.0500000000000001E-2</v>
      </c>
    </row>
    <row r="614" spans="1:7" x14ac:dyDescent="0.15">
      <c r="A614" s="86">
        <v>45347</v>
      </c>
      <c r="B614" s="18">
        <v>244000</v>
      </c>
      <c r="C614" s="14">
        <v>244000</v>
      </c>
      <c r="D614" s="14">
        <v>244000</v>
      </c>
      <c r="E614" s="14">
        <v>244000</v>
      </c>
      <c r="G614" s="15">
        <v>0</v>
      </c>
    </row>
    <row r="615" spans="1:7" x14ac:dyDescent="0.15">
      <c r="A615" s="86">
        <v>45345</v>
      </c>
      <c r="B615" s="18">
        <v>244000</v>
      </c>
      <c r="C615" s="14">
        <v>244000</v>
      </c>
      <c r="D615" s="14">
        <v>249500</v>
      </c>
      <c r="E615" s="14">
        <v>242000</v>
      </c>
      <c r="F615" t="s">
        <v>504</v>
      </c>
      <c r="G615" s="15">
        <v>2.0999999999999999E-3</v>
      </c>
    </row>
    <row r="616" spans="1:7" x14ac:dyDescent="0.15">
      <c r="A616" s="86">
        <v>45344</v>
      </c>
      <c r="B616" s="18">
        <v>243500</v>
      </c>
      <c r="C616" s="14">
        <v>239000</v>
      </c>
      <c r="D616" s="14">
        <v>245500</v>
      </c>
      <c r="E616" s="14">
        <v>237500</v>
      </c>
      <c r="F616" t="s">
        <v>229</v>
      </c>
      <c r="G616" s="15">
        <v>1.67E-2</v>
      </c>
    </row>
    <row r="617" spans="1:7" x14ac:dyDescent="0.15">
      <c r="A617" s="86">
        <v>45343</v>
      </c>
      <c r="B617" s="18">
        <v>239500</v>
      </c>
      <c r="C617" s="14">
        <v>242000</v>
      </c>
      <c r="D617" s="14">
        <v>246000</v>
      </c>
      <c r="E617" s="14">
        <v>237500</v>
      </c>
      <c r="F617" t="s">
        <v>106</v>
      </c>
      <c r="G617" s="15">
        <v>-1.03E-2</v>
      </c>
    </row>
    <row r="618" spans="1:7" x14ac:dyDescent="0.15">
      <c r="A618" s="86">
        <v>45342</v>
      </c>
      <c r="B618" s="18">
        <v>242000</v>
      </c>
      <c r="C618" s="14">
        <v>250000</v>
      </c>
      <c r="D618" s="14">
        <v>253000</v>
      </c>
      <c r="E618" s="14">
        <v>238500</v>
      </c>
      <c r="F618" t="s">
        <v>592</v>
      </c>
      <c r="G618" s="15">
        <v>-4.1599999999999998E-2</v>
      </c>
    </row>
    <row r="619" spans="1:7" x14ac:dyDescent="0.15">
      <c r="A619" s="86">
        <v>45341</v>
      </c>
      <c r="B619" s="18">
        <v>252500</v>
      </c>
      <c r="C619" s="14">
        <v>253500</v>
      </c>
      <c r="D619" s="14">
        <v>257000</v>
      </c>
      <c r="E619" s="14">
        <v>248500</v>
      </c>
      <c r="F619" t="s">
        <v>593</v>
      </c>
      <c r="G619" s="15">
        <v>0</v>
      </c>
    </row>
    <row r="620" spans="1:7" x14ac:dyDescent="0.15">
      <c r="A620" s="86">
        <v>45340</v>
      </c>
      <c r="B620" s="18">
        <v>252500</v>
      </c>
      <c r="C620" s="14">
        <v>252500</v>
      </c>
      <c r="D620" s="14">
        <v>252500</v>
      </c>
      <c r="E620" s="14">
        <v>252500</v>
      </c>
      <c r="G620" s="15">
        <v>0</v>
      </c>
    </row>
    <row r="621" spans="1:7" x14ac:dyDescent="0.15">
      <c r="A621" s="86">
        <v>45338</v>
      </c>
      <c r="B621" s="18">
        <v>252500</v>
      </c>
      <c r="C621" s="14">
        <v>241500</v>
      </c>
      <c r="D621" s="14">
        <v>253000</v>
      </c>
      <c r="E621" s="14">
        <v>235500</v>
      </c>
      <c r="F621" t="s">
        <v>594</v>
      </c>
      <c r="G621" s="15">
        <v>5.21E-2</v>
      </c>
    </row>
    <row r="622" spans="1:7" x14ac:dyDescent="0.15">
      <c r="A622" s="86">
        <v>45337</v>
      </c>
      <c r="B622" s="18">
        <v>240000</v>
      </c>
      <c r="C622" s="14">
        <v>250000</v>
      </c>
      <c r="D622" s="14">
        <v>250500</v>
      </c>
      <c r="E622" s="14">
        <v>237000</v>
      </c>
      <c r="F622" t="s">
        <v>190</v>
      </c>
      <c r="G622" s="15">
        <v>-2.24E-2</v>
      </c>
    </row>
    <row r="623" spans="1:7" x14ac:dyDescent="0.15">
      <c r="A623" s="86">
        <v>45336</v>
      </c>
      <c r="B623" s="18">
        <v>245500</v>
      </c>
      <c r="C623" s="14">
        <v>245000</v>
      </c>
      <c r="D623" s="14">
        <v>251000</v>
      </c>
      <c r="E623" s="14">
        <v>244500</v>
      </c>
      <c r="F623" t="s">
        <v>191</v>
      </c>
      <c r="G623" s="15">
        <v>-1.41E-2</v>
      </c>
    </row>
    <row r="624" spans="1:7" x14ac:dyDescent="0.15">
      <c r="A624" s="86">
        <v>45335</v>
      </c>
      <c r="B624" s="18">
        <v>249000</v>
      </c>
      <c r="C624" s="14">
        <v>251000</v>
      </c>
      <c r="D624" s="14">
        <v>261000</v>
      </c>
      <c r="E624" s="14">
        <v>247500</v>
      </c>
      <c r="F624" t="s">
        <v>183</v>
      </c>
      <c r="G624" s="15">
        <v>-4.0000000000000001E-3</v>
      </c>
    </row>
    <row r="625" spans="1:7" x14ac:dyDescent="0.15">
      <c r="A625" s="86">
        <v>45334</v>
      </c>
      <c r="B625" s="18">
        <v>250000</v>
      </c>
      <c r="C625" s="14">
        <v>250000</v>
      </c>
      <c r="D625" s="14">
        <v>250000</v>
      </c>
      <c r="E625" s="14">
        <v>250000</v>
      </c>
      <c r="G625" s="15">
        <v>0</v>
      </c>
    </row>
    <row r="626" spans="1:7" x14ac:dyDescent="0.15">
      <c r="A626" s="86">
        <v>45330</v>
      </c>
      <c r="B626" s="18">
        <v>250000</v>
      </c>
      <c r="C626" s="14">
        <v>243000</v>
      </c>
      <c r="D626" s="14">
        <v>250500</v>
      </c>
      <c r="E626" s="14">
        <v>241500</v>
      </c>
      <c r="F626" t="s">
        <v>595</v>
      </c>
      <c r="G626" s="15">
        <v>2.0400000000000001E-2</v>
      </c>
    </row>
    <row r="627" spans="1:7" x14ac:dyDescent="0.15">
      <c r="A627" s="86">
        <v>45329</v>
      </c>
      <c r="B627" s="18">
        <v>245000</v>
      </c>
      <c r="C627" s="14">
        <v>239000</v>
      </c>
      <c r="D627" s="14">
        <v>246500</v>
      </c>
      <c r="E627" s="14">
        <v>238000</v>
      </c>
      <c r="F627" t="s">
        <v>596</v>
      </c>
      <c r="G627" s="15">
        <v>4.0300000000000002E-2</v>
      </c>
    </row>
    <row r="628" spans="1:7" x14ac:dyDescent="0.15">
      <c r="A628" s="86">
        <v>45328</v>
      </c>
      <c r="B628" s="18">
        <v>235500</v>
      </c>
      <c r="C628" s="14">
        <v>234000</v>
      </c>
      <c r="D628" s="14">
        <v>240000</v>
      </c>
      <c r="E628" s="14">
        <v>230500</v>
      </c>
      <c r="F628" t="s">
        <v>213</v>
      </c>
      <c r="G628" s="15">
        <v>-1.0500000000000001E-2</v>
      </c>
    </row>
    <row r="629" spans="1:7" x14ac:dyDescent="0.15">
      <c r="A629" s="86">
        <v>45327</v>
      </c>
      <c r="B629" s="18">
        <v>238000</v>
      </c>
      <c r="C629" s="14">
        <v>233500</v>
      </c>
      <c r="D629" s="14">
        <v>239500</v>
      </c>
      <c r="E629" s="14">
        <v>226000</v>
      </c>
      <c r="F629" t="s">
        <v>597</v>
      </c>
      <c r="G629" s="15">
        <v>4.8500000000000001E-2</v>
      </c>
    </row>
    <row r="630" spans="1:7" x14ac:dyDescent="0.15">
      <c r="A630" s="86">
        <v>45326</v>
      </c>
      <c r="B630" s="18">
        <v>227000</v>
      </c>
      <c r="C630" s="14">
        <v>227000</v>
      </c>
      <c r="D630" s="14">
        <v>227000</v>
      </c>
      <c r="E630" s="14">
        <v>227000</v>
      </c>
      <c r="G630" s="15">
        <v>0</v>
      </c>
    </row>
    <row r="631" spans="1:7" x14ac:dyDescent="0.15">
      <c r="A631" s="86">
        <v>45324</v>
      </c>
      <c r="B631" s="18">
        <v>227000</v>
      </c>
      <c r="C631" s="14">
        <v>221500</v>
      </c>
      <c r="D631" s="14">
        <v>228000</v>
      </c>
      <c r="E631" s="14">
        <v>214000</v>
      </c>
      <c r="F631" t="s">
        <v>598</v>
      </c>
      <c r="G631" s="15">
        <v>9.1300000000000006E-2</v>
      </c>
    </row>
    <row r="632" spans="1:7" x14ac:dyDescent="0.15">
      <c r="A632" s="86">
        <v>45323</v>
      </c>
      <c r="B632" s="18">
        <v>208000</v>
      </c>
      <c r="C632" s="14">
        <v>193900</v>
      </c>
      <c r="D632" s="14">
        <v>209000</v>
      </c>
      <c r="E632" s="14">
        <v>193500</v>
      </c>
      <c r="F632" t="s">
        <v>599</v>
      </c>
      <c r="G632" s="15">
        <v>6.8900000000000003E-2</v>
      </c>
    </row>
    <row r="633" spans="1:7" x14ac:dyDescent="0.15">
      <c r="A633" s="86">
        <v>45322</v>
      </c>
      <c r="B633" s="18">
        <v>194600</v>
      </c>
      <c r="C633" s="14">
        <v>189300</v>
      </c>
      <c r="D633" s="14">
        <v>195400</v>
      </c>
      <c r="E633" s="14">
        <v>188500</v>
      </c>
      <c r="F633" t="s">
        <v>556</v>
      </c>
      <c r="G633" s="15">
        <v>2.4199999999999999E-2</v>
      </c>
    </row>
    <row r="634" spans="1:7" x14ac:dyDescent="0.15">
      <c r="A634" s="86">
        <v>45321</v>
      </c>
      <c r="B634" s="18">
        <v>190000</v>
      </c>
      <c r="C634" s="14">
        <v>196000</v>
      </c>
      <c r="D634" s="14">
        <v>196600</v>
      </c>
      <c r="E634" s="14">
        <v>189300</v>
      </c>
      <c r="F634" t="s">
        <v>600</v>
      </c>
      <c r="G634" s="15">
        <v>-2.86E-2</v>
      </c>
    </row>
    <row r="635" spans="1:7" x14ac:dyDescent="0.15">
      <c r="A635" s="86">
        <v>45320</v>
      </c>
      <c r="B635" s="18">
        <v>195600</v>
      </c>
      <c r="C635" s="14">
        <v>187300</v>
      </c>
      <c r="D635" s="14">
        <v>197300</v>
      </c>
      <c r="E635" s="14">
        <v>186600</v>
      </c>
      <c r="F635" t="s">
        <v>114</v>
      </c>
      <c r="G635" s="15">
        <v>4.4299999999999999E-2</v>
      </c>
    </row>
    <row r="636" spans="1:7" x14ac:dyDescent="0.15">
      <c r="A636" s="86">
        <v>45319</v>
      </c>
      <c r="B636" s="18">
        <v>187300</v>
      </c>
      <c r="C636" s="14">
        <v>187300</v>
      </c>
      <c r="D636" s="14">
        <v>187300</v>
      </c>
      <c r="E636" s="14">
        <v>187300</v>
      </c>
      <c r="G636" s="15">
        <v>0</v>
      </c>
    </row>
    <row r="637" spans="1:7" x14ac:dyDescent="0.15">
      <c r="A637" s="86">
        <v>45317</v>
      </c>
      <c r="B637" s="18">
        <v>187300</v>
      </c>
      <c r="C637" s="14">
        <v>189300</v>
      </c>
      <c r="D637" s="14">
        <v>189600</v>
      </c>
      <c r="E637" s="14">
        <v>186500</v>
      </c>
      <c r="F637" t="s">
        <v>601</v>
      </c>
      <c r="G637" s="15">
        <v>-7.4000000000000003E-3</v>
      </c>
    </row>
    <row r="638" spans="1:7" x14ac:dyDescent="0.15">
      <c r="A638" s="86">
        <v>45316</v>
      </c>
      <c r="B638" s="18">
        <v>188700</v>
      </c>
      <c r="C638" s="14">
        <v>184400</v>
      </c>
      <c r="D638" s="14">
        <v>190500</v>
      </c>
      <c r="E638" s="14">
        <v>183500</v>
      </c>
      <c r="F638" t="s">
        <v>602</v>
      </c>
      <c r="G638" s="15">
        <v>0.02</v>
      </c>
    </row>
    <row r="639" spans="1:7" x14ac:dyDescent="0.15">
      <c r="A639" s="86">
        <v>45315</v>
      </c>
      <c r="B639" s="18">
        <v>185000</v>
      </c>
      <c r="C639" s="14">
        <v>185300</v>
      </c>
      <c r="D639" s="14">
        <v>185400</v>
      </c>
      <c r="E639" s="14">
        <v>182100</v>
      </c>
      <c r="F639" t="s">
        <v>603</v>
      </c>
      <c r="G639" s="15">
        <v>1.1000000000000001E-3</v>
      </c>
    </row>
    <row r="640" spans="1:7" x14ac:dyDescent="0.15">
      <c r="A640" s="86">
        <v>45314</v>
      </c>
      <c r="B640" s="18">
        <v>184800</v>
      </c>
      <c r="C640" s="14">
        <v>181200</v>
      </c>
      <c r="D640" s="14">
        <v>184800</v>
      </c>
      <c r="E640" s="14">
        <v>180900</v>
      </c>
      <c r="F640" t="s">
        <v>604</v>
      </c>
      <c r="G640" s="15">
        <v>2.6100000000000002E-2</v>
      </c>
    </row>
    <row r="641" spans="1:7" x14ac:dyDescent="0.15">
      <c r="A641" s="86">
        <v>45313</v>
      </c>
      <c r="B641" s="18">
        <v>180100</v>
      </c>
      <c r="C641" s="14">
        <v>182300</v>
      </c>
      <c r="D641" s="14">
        <v>182400</v>
      </c>
      <c r="E641" s="14">
        <v>179800</v>
      </c>
      <c r="F641" t="s">
        <v>605</v>
      </c>
      <c r="G641" s="15">
        <v>-8.8000000000000005E-3</v>
      </c>
    </row>
    <row r="642" spans="1:7" x14ac:dyDescent="0.15">
      <c r="A642" s="86">
        <v>45312</v>
      </c>
      <c r="B642" s="18">
        <v>181700</v>
      </c>
      <c r="C642" s="14">
        <v>181700</v>
      </c>
      <c r="D642" s="14">
        <v>181700</v>
      </c>
      <c r="E642" s="14">
        <v>181700</v>
      </c>
      <c r="G642" s="15">
        <v>0</v>
      </c>
    </row>
    <row r="643" spans="1:7" x14ac:dyDescent="0.15">
      <c r="A643" s="86">
        <v>45310</v>
      </c>
      <c r="B643" s="18">
        <v>181700</v>
      </c>
      <c r="C643" s="14">
        <v>183000</v>
      </c>
      <c r="D643" s="14">
        <v>183000</v>
      </c>
      <c r="E643" s="14">
        <v>180100</v>
      </c>
      <c r="F643" t="s">
        <v>606</v>
      </c>
      <c r="G643" s="15">
        <v>8.3000000000000001E-3</v>
      </c>
    </row>
    <row r="644" spans="1:7" x14ac:dyDescent="0.15">
      <c r="A644" s="86">
        <v>45309</v>
      </c>
      <c r="B644" s="18">
        <v>180200</v>
      </c>
      <c r="C644" s="14">
        <v>180000</v>
      </c>
      <c r="D644" s="14">
        <v>182500</v>
      </c>
      <c r="E644" s="14">
        <v>179900</v>
      </c>
      <c r="F644" t="s">
        <v>607</v>
      </c>
      <c r="G644" s="15">
        <v>-8.8000000000000005E-3</v>
      </c>
    </row>
    <row r="645" spans="1:7" x14ac:dyDescent="0.15">
      <c r="A645" s="86">
        <v>45308</v>
      </c>
      <c r="B645" s="18">
        <v>181800</v>
      </c>
      <c r="C645" s="14">
        <v>186300</v>
      </c>
      <c r="D645" s="14">
        <v>186400</v>
      </c>
      <c r="E645" s="14">
        <v>181000</v>
      </c>
      <c r="F645" t="s">
        <v>608</v>
      </c>
      <c r="G645" s="15">
        <v>-2.3599999999999999E-2</v>
      </c>
    </row>
    <row r="646" spans="1:7" x14ac:dyDescent="0.15">
      <c r="A646" s="86">
        <v>45307</v>
      </c>
      <c r="B646" s="18">
        <v>186200</v>
      </c>
      <c r="C646" s="14">
        <v>186600</v>
      </c>
      <c r="D646" s="14">
        <v>188100</v>
      </c>
      <c r="E646" s="14">
        <v>185700</v>
      </c>
      <c r="F646" t="s">
        <v>609</v>
      </c>
      <c r="G646" s="15">
        <v>-6.8999999999999999E-3</v>
      </c>
    </row>
    <row r="647" spans="1:7" x14ac:dyDescent="0.15">
      <c r="A647" s="86">
        <v>45306</v>
      </c>
      <c r="B647" s="18">
        <v>187500</v>
      </c>
      <c r="C647" s="14">
        <v>186000</v>
      </c>
      <c r="D647" s="14">
        <v>188600</v>
      </c>
      <c r="E647" s="14">
        <v>185800</v>
      </c>
      <c r="F647" t="s">
        <v>610</v>
      </c>
      <c r="G647" s="15">
        <v>8.0999999999999996E-3</v>
      </c>
    </row>
    <row r="648" spans="1:7" x14ac:dyDescent="0.15">
      <c r="A648" s="86">
        <v>45305</v>
      </c>
      <c r="B648" s="18">
        <v>186000</v>
      </c>
      <c r="C648" s="14">
        <v>186000</v>
      </c>
      <c r="D648" s="14">
        <v>186000</v>
      </c>
      <c r="E648" s="14">
        <v>186000</v>
      </c>
      <c r="G648" s="15">
        <v>0</v>
      </c>
    </row>
    <row r="649" spans="1:7" x14ac:dyDescent="0.15">
      <c r="A649" s="86">
        <v>45303</v>
      </c>
      <c r="B649" s="18">
        <v>186000</v>
      </c>
      <c r="C649" s="14">
        <v>186600</v>
      </c>
      <c r="D649" s="14">
        <v>187400</v>
      </c>
      <c r="E649" s="14">
        <v>185800</v>
      </c>
      <c r="F649" t="s">
        <v>611</v>
      </c>
      <c r="G649" s="15">
        <v>-5.3E-3</v>
      </c>
    </row>
    <row r="650" spans="1:7" x14ac:dyDescent="0.15">
      <c r="A650" s="86">
        <v>45302</v>
      </c>
      <c r="B650" s="18">
        <v>187000</v>
      </c>
      <c r="C650" s="14">
        <v>187200</v>
      </c>
      <c r="D650" s="14">
        <v>189000</v>
      </c>
      <c r="E650" s="14">
        <v>187000</v>
      </c>
      <c r="F650" t="s">
        <v>612</v>
      </c>
      <c r="G650" s="15">
        <v>1.6000000000000001E-3</v>
      </c>
    </row>
    <row r="651" spans="1:7" x14ac:dyDescent="0.15">
      <c r="A651" s="86">
        <v>45301</v>
      </c>
      <c r="B651" s="18">
        <v>186700</v>
      </c>
      <c r="C651" s="14">
        <v>185600</v>
      </c>
      <c r="D651" s="14">
        <v>187300</v>
      </c>
      <c r="E651" s="14">
        <v>185200</v>
      </c>
      <c r="F651" t="s">
        <v>613</v>
      </c>
      <c r="G651" s="15">
        <v>5.8999999999999999E-3</v>
      </c>
    </row>
    <row r="652" spans="1:7" x14ac:dyDescent="0.15">
      <c r="A652" s="86">
        <v>45300</v>
      </c>
      <c r="B652" s="18">
        <v>185600</v>
      </c>
      <c r="C652" s="14">
        <v>187800</v>
      </c>
      <c r="D652" s="14">
        <v>187800</v>
      </c>
      <c r="E652" s="14">
        <v>185500</v>
      </c>
      <c r="F652" t="s">
        <v>614</v>
      </c>
      <c r="G652" s="15">
        <v>-5.0000000000000001E-4</v>
      </c>
    </row>
    <row r="653" spans="1:7" x14ac:dyDescent="0.15">
      <c r="A653" s="86">
        <v>45299</v>
      </c>
      <c r="B653" s="18">
        <v>185700</v>
      </c>
      <c r="C653" s="14">
        <v>187600</v>
      </c>
      <c r="D653" s="14">
        <v>188900</v>
      </c>
      <c r="E653" s="14">
        <v>185500</v>
      </c>
      <c r="F653" t="s">
        <v>615</v>
      </c>
      <c r="G653" s="15">
        <v>-8.5000000000000006E-3</v>
      </c>
    </row>
    <row r="654" spans="1:7" x14ac:dyDescent="0.15">
      <c r="A654" s="86">
        <v>45298</v>
      </c>
      <c r="B654" s="18">
        <v>187300</v>
      </c>
      <c r="C654" s="14">
        <v>187300</v>
      </c>
      <c r="D654" s="14">
        <v>187300</v>
      </c>
      <c r="E654" s="14">
        <v>187300</v>
      </c>
      <c r="G654" s="15">
        <v>0</v>
      </c>
    </row>
    <row r="655" spans="1:7" x14ac:dyDescent="0.15">
      <c r="A655" s="86">
        <v>45296</v>
      </c>
      <c r="B655" s="18">
        <v>187300</v>
      </c>
      <c r="C655" s="14">
        <v>190100</v>
      </c>
      <c r="D655" s="14">
        <v>190500</v>
      </c>
      <c r="E655" s="14">
        <v>187200</v>
      </c>
      <c r="F655" t="s">
        <v>616</v>
      </c>
      <c r="G655" s="15">
        <v>-1.4200000000000001E-2</v>
      </c>
    </row>
    <row r="656" spans="1:7" x14ac:dyDescent="0.15">
      <c r="A656" s="86">
        <v>45295</v>
      </c>
      <c r="B656" s="18">
        <v>190000</v>
      </c>
      <c r="C656" s="14">
        <v>192000</v>
      </c>
      <c r="D656" s="14">
        <v>192800</v>
      </c>
      <c r="E656" s="14">
        <v>189100</v>
      </c>
      <c r="F656" t="s">
        <v>617</v>
      </c>
      <c r="G656" s="15">
        <v>-1.9599999999999999E-2</v>
      </c>
    </row>
    <row r="657" spans="1:7" x14ac:dyDescent="0.15">
      <c r="A657" s="86">
        <v>45294</v>
      </c>
      <c r="B657" s="18">
        <v>193800</v>
      </c>
      <c r="C657" s="14">
        <v>199100</v>
      </c>
      <c r="D657" s="14">
        <v>199500</v>
      </c>
      <c r="E657" s="14">
        <v>193800</v>
      </c>
      <c r="F657" t="s">
        <v>618</v>
      </c>
      <c r="G657" s="15">
        <v>-3.3399999999999999E-2</v>
      </c>
    </row>
    <row r="658" spans="1:7" x14ac:dyDescent="0.15">
      <c r="A658" s="86">
        <v>45293</v>
      </c>
      <c r="B658" s="18">
        <v>200500</v>
      </c>
      <c r="C658" s="14">
        <v>202000</v>
      </c>
      <c r="D658" s="14">
        <v>202500</v>
      </c>
      <c r="E658" s="14">
        <v>199800</v>
      </c>
      <c r="F658" t="s">
        <v>619</v>
      </c>
      <c r="G658" s="15">
        <v>-1.47E-2</v>
      </c>
    </row>
    <row r="659" spans="1:7" x14ac:dyDescent="0.15">
      <c r="A659" s="86">
        <v>45288</v>
      </c>
      <c r="B659" s="18">
        <v>203500</v>
      </c>
      <c r="C659" s="14">
        <v>198800</v>
      </c>
      <c r="D659" s="14">
        <v>203500</v>
      </c>
      <c r="E659" s="14">
        <v>198400</v>
      </c>
      <c r="F659" t="s">
        <v>620</v>
      </c>
      <c r="G659" s="15">
        <v>2.52E-2</v>
      </c>
    </row>
    <row r="660" spans="1:7" x14ac:dyDescent="0.15">
      <c r="A660" s="86">
        <v>45287</v>
      </c>
      <c r="B660" s="18">
        <v>198500</v>
      </c>
      <c r="C660" s="14">
        <v>198700</v>
      </c>
      <c r="D660" s="14">
        <v>199300</v>
      </c>
      <c r="E660" s="14">
        <v>197200</v>
      </c>
      <c r="F660" t="s">
        <v>621</v>
      </c>
      <c r="G660" s="15">
        <v>-1.5E-3</v>
      </c>
    </row>
    <row r="661" spans="1:7" x14ac:dyDescent="0.15">
      <c r="A661" s="86">
        <v>45286</v>
      </c>
      <c r="B661" s="18">
        <v>198800</v>
      </c>
      <c r="C661" s="14">
        <v>200500</v>
      </c>
      <c r="D661" s="14">
        <v>200500</v>
      </c>
      <c r="E661" s="14">
        <v>197700</v>
      </c>
      <c r="F661" t="s">
        <v>622</v>
      </c>
      <c r="G661" s="15">
        <v>-1E-3</v>
      </c>
    </row>
    <row r="662" spans="1:7" x14ac:dyDescent="0.15">
      <c r="A662" s="86">
        <v>45285</v>
      </c>
      <c r="B662" s="18">
        <v>199000</v>
      </c>
      <c r="C662" s="14">
        <v>199000</v>
      </c>
      <c r="D662" s="14">
        <v>199000</v>
      </c>
      <c r="E662" s="14">
        <v>199000</v>
      </c>
      <c r="G662" s="15">
        <v>0</v>
      </c>
    </row>
    <row r="663" spans="1:7" x14ac:dyDescent="0.15">
      <c r="A663" s="86">
        <v>45282</v>
      </c>
      <c r="B663" s="18">
        <v>199000</v>
      </c>
      <c r="C663" s="14">
        <v>200000</v>
      </c>
      <c r="D663" s="14">
        <v>200500</v>
      </c>
      <c r="E663" s="14">
        <v>198500</v>
      </c>
      <c r="F663" t="s">
        <v>623</v>
      </c>
      <c r="G663" s="15">
        <v>1.5E-3</v>
      </c>
    </row>
    <row r="664" spans="1:7" x14ac:dyDescent="0.15">
      <c r="A664" s="86">
        <v>45281</v>
      </c>
      <c r="B664" s="18">
        <v>198700</v>
      </c>
      <c r="C664" s="14">
        <v>197500</v>
      </c>
      <c r="D664" s="14">
        <v>202000</v>
      </c>
      <c r="E664" s="14">
        <v>197100</v>
      </c>
      <c r="F664" t="s">
        <v>624</v>
      </c>
      <c r="G664" s="15">
        <v>-2E-3</v>
      </c>
    </row>
    <row r="665" spans="1:7" x14ac:dyDescent="0.15">
      <c r="A665" s="86">
        <v>45280</v>
      </c>
      <c r="B665" s="18">
        <v>199100</v>
      </c>
      <c r="C665" s="14">
        <v>192700</v>
      </c>
      <c r="D665" s="14">
        <v>199700</v>
      </c>
      <c r="E665" s="14">
        <v>192600</v>
      </c>
      <c r="F665" t="s">
        <v>625</v>
      </c>
      <c r="G665" s="15">
        <v>3.5900000000000001E-2</v>
      </c>
    </row>
    <row r="666" spans="1:7" x14ac:dyDescent="0.15">
      <c r="A666" s="86">
        <v>45279</v>
      </c>
      <c r="B666" s="18">
        <v>192200</v>
      </c>
      <c r="C666" s="14">
        <v>191900</v>
      </c>
      <c r="D666" s="14">
        <v>192900</v>
      </c>
      <c r="E666" s="14">
        <v>190800</v>
      </c>
      <c r="F666" t="s">
        <v>626</v>
      </c>
      <c r="G666" s="15">
        <v>1E-3</v>
      </c>
    </row>
    <row r="667" spans="1:7" x14ac:dyDescent="0.15">
      <c r="A667" s="86">
        <v>45278</v>
      </c>
      <c r="B667" s="18">
        <v>192000</v>
      </c>
      <c r="C667" s="14">
        <v>192800</v>
      </c>
      <c r="D667" s="14">
        <v>193000</v>
      </c>
      <c r="E667" s="14">
        <v>190000</v>
      </c>
      <c r="F667" t="s">
        <v>627</v>
      </c>
      <c r="G667" s="15">
        <v>-4.1000000000000003E-3</v>
      </c>
    </row>
    <row r="668" spans="1:7" x14ac:dyDescent="0.15">
      <c r="A668" s="86">
        <v>45277</v>
      </c>
      <c r="B668" s="18">
        <v>192800</v>
      </c>
      <c r="C668" s="14">
        <v>192800</v>
      </c>
      <c r="D668" s="14">
        <v>192800</v>
      </c>
      <c r="E668" s="14">
        <v>192800</v>
      </c>
      <c r="G668" s="15">
        <v>0</v>
      </c>
    </row>
    <row r="669" spans="1:7" x14ac:dyDescent="0.15">
      <c r="A669" s="86">
        <v>45275</v>
      </c>
      <c r="B669" s="18">
        <v>192800</v>
      </c>
      <c r="C669" s="14">
        <v>185800</v>
      </c>
      <c r="D669" s="14">
        <v>192800</v>
      </c>
      <c r="E669" s="14">
        <v>185200</v>
      </c>
      <c r="F669" t="s">
        <v>81</v>
      </c>
      <c r="G669" s="15">
        <v>4.3299999999999998E-2</v>
      </c>
    </row>
    <row r="670" spans="1:7" x14ac:dyDescent="0.15">
      <c r="A670" s="86">
        <v>45274</v>
      </c>
      <c r="B670" s="18">
        <v>184800</v>
      </c>
      <c r="C670" s="14">
        <v>187000</v>
      </c>
      <c r="D670" s="14">
        <v>187100</v>
      </c>
      <c r="E670" s="14">
        <v>184200</v>
      </c>
      <c r="F670" t="s">
        <v>628</v>
      </c>
      <c r="G670" s="15">
        <v>-1.1000000000000001E-3</v>
      </c>
    </row>
    <row r="671" spans="1:7" x14ac:dyDescent="0.15">
      <c r="A671" s="86">
        <v>45273</v>
      </c>
      <c r="B671" s="18">
        <v>185000</v>
      </c>
      <c r="C671" s="14">
        <v>185300</v>
      </c>
      <c r="D671" s="14">
        <v>186200</v>
      </c>
      <c r="E671" s="14">
        <v>184400</v>
      </c>
      <c r="F671" t="s">
        <v>629</v>
      </c>
      <c r="G671" s="15">
        <v>-3.2000000000000002E-3</v>
      </c>
    </row>
    <row r="672" spans="1:7" x14ac:dyDescent="0.15">
      <c r="A672" s="86">
        <v>45272</v>
      </c>
      <c r="B672" s="18">
        <v>185600</v>
      </c>
      <c r="C672" s="14">
        <v>185500</v>
      </c>
      <c r="D672" s="14">
        <v>186400</v>
      </c>
      <c r="E672" s="14">
        <v>185000</v>
      </c>
      <c r="F672" t="s">
        <v>630</v>
      </c>
      <c r="G672" s="15">
        <v>1.1000000000000001E-3</v>
      </c>
    </row>
    <row r="673" spans="1:7" x14ac:dyDescent="0.15">
      <c r="A673" s="86">
        <v>45271</v>
      </c>
      <c r="B673" s="18">
        <v>185400</v>
      </c>
      <c r="C673" s="14">
        <v>185400</v>
      </c>
      <c r="D673" s="14">
        <v>185400</v>
      </c>
      <c r="E673" s="14">
        <v>184000</v>
      </c>
      <c r="F673" t="s">
        <v>631</v>
      </c>
      <c r="G673" s="15">
        <v>1.6000000000000001E-3</v>
      </c>
    </row>
    <row r="674" spans="1:7" x14ac:dyDescent="0.15">
      <c r="A674" s="86">
        <v>45270</v>
      </c>
      <c r="B674" s="18">
        <v>185100</v>
      </c>
      <c r="C674" s="14">
        <v>185100</v>
      </c>
      <c r="D674" s="14">
        <v>185100</v>
      </c>
      <c r="E674" s="14">
        <v>185100</v>
      </c>
      <c r="G674" s="15">
        <v>0</v>
      </c>
    </row>
    <row r="675" spans="1:7" x14ac:dyDescent="0.15">
      <c r="A675" s="86">
        <v>45268</v>
      </c>
      <c r="B675" s="18">
        <v>185100</v>
      </c>
      <c r="C675" s="14">
        <v>183600</v>
      </c>
      <c r="D675" s="14">
        <v>185700</v>
      </c>
      <c r="E675" s="14">
        <v>183400</v>
      </c>
      <c r="F675" t="s">
        <v>632</v>
      </c>
      <c r="G675" s="15">
        <v>1.37E-2</v>
      </c>
    </row>
    <row r="676" spans="1:7" x14ac:dyDescent="0.15">
      <c r="A676" s="86">
        <v>45267</v>
      </c>
      <c r="B676" s="18">
        <v>182600</v>
      </c>
      <c r="C676" s="14">
        <v>181400</v>
      </c>
      <c r="D676" s="14">
        <v>183300</v>
      </c>
      <c r="E676" s="14">
        <v>181400</v>
      </c>
      <c r="F676" t="s">
        <v>633</v>
      </c>
      <c r="G676" s="15">
        <v>-1.6000000000000001E-3</v>
      </c>
    </row>
    <row r="677" spans="1:7" x14ac:dyDescent="0.15">
      <c r="A677" s="86">
        <v>45266</v>
      </c>
      <c r="B677" s="18">
        <v>182900</v>
      </c>
      <c r="C677" s="14">
        <v>181100</v>
      </c>
      <c r="D677" s="14">
        <v>183400</v>
      </c>
      <c r="E677" s="14">
        <v>181100</v>
      </c>
      <c r="F677" t="s">
        <v>634</v>
      </c>
      <c r="G677" s="15">
        <v>8.3000000000000001E-3</v>
      </c>
    </row>
    <row r="678" spans="1:7" x14ac:dyDescent="0.15">
      <c r="A678" s="86">
        <v>45265</v>
      </c>
      <c r="B678" s="18">
        <v>181400</v>
      </c>
      <c r="C678" s="14">
        <v>181600</v>
      </c>
      <c r="D678" s="14">
        <v>182000</v>
      </c>
      <c r="E678" s="14">
        <v>180700</v>
      </c>
      <c r="F678" t="s">
        <v>635</v>
      </c>
      <c r="G678" s="15">
        <v>-1.1000000000000001E-3</v>
      </c>
    </row>
    <row r="679" spans="1:7" x14ac:dyDescent="0.15">
      <c r="A679" s="86">
        <v>45264</v>
      </c>
      <c r="B679" s="18">
        <v>181600</v>
      </c>
      <c r="C679" s="14">
        <v>183900</v>
      </c>
      <c r="D679" s="14">
        <v>184100</v>
      </c>
      <c r="E679" s="14">
        <v>181600</v>
      </c>
      <c r="F679" t="s">
        <v>636</v>
      </c>
      <c r="G679" s="15">
        <v>-6.6E-3</v>
      </c>
    </row>
    <row r="680" spans="1:7" x14ac:dyDescent="0.15">
      <c r="A680" s="86">
        <v>45263</v>
      </c>
      <c r="B680" s="18">
        <v>182800</v>
      </c>
      <c r="C680" s="14">
        <v>182800</v>
      </c>
      <c r="D680" s="14">
        <v>182800</v>
      </c>
      <c r="E680" s="14">
        <v>182800</v>
      </c>
      <c r="G680" s="15">
        <v>0</v>
      </c>
    </row>
    <row r="681" spans="1:7" x14ac:dyDescent="0.15">
      <c r="A681" s="86">
        <v>45261</v>
      </c>
      <c r="B681" s="18">
        <v>182800</v>
      </c>
      <c r="C681" s="14">
        <v>183300</v>
      </c>
      <c r="D681" s="14">
        <v>183800</v>
      </c>
      <c r="E681" s="14">
        <v>181700</v>
      </c>
      <c r="F681" t="s">
        <v>637</v>
      </c>
      <c r="G681" s="15">
        <v>-8.0999999999999996E-3</v>
      </c>
    </row>
    <row r="682" spans="1:7" x14ac:dyDescent="0.15">
      <c r="A682" s="86">
        <v>45260</v>
      </c>
      <c r="B682" s="18">
        <v>184300</v>
      </c>
      <c r="C682" s="14">
        <v>184200</v>
      </c>
      <c r="D682" s="14">
        <v>184900</v>
      </c>
      <c r="E682" s="14">
        <v>182100</v>
      </c>
      <c r="F682" t="s">
        <v>638</v>
      </c>
      <c r="G682" s="15">
        <v>-2.7000000000000001E-3</v>
      </c>
    </row>
    <row r="683" spans="1:7" x14ac:dyDescent="0.15">
      <c r="A683" s="86">
        <v>45259</v>
      </c>
      <c r="B683" s="18">
        <v>184800</v>
      </c>
      <c r="C683" s="14">
        <v>185700</v>
      </c>
      <c r="D683" s="14">
        <v>186500</v>
      </c>
      <c r="E683" s="14">
        <v>184700</v>
      </c>
      <c r="F683" t="s">
        <v>639</v>
      </c>
      <c r="G683" s="15">
        <v>-4.7999999999999996E-3</v>
      </c>
    </row>
    <row r="684" spans="1:7" x14ac:dyDescent="0.15">
      <c r="A684" s="86">
        <v>45258</v>
      </c>
      <c r="B684" s="18">
        <v>185700</v>
      </c>
      <c r="C684" s="14">
        <v>185900</v>
      </c>
      <c r="D684" s="14">
        <v>185900</v>
      </c>
      <c r="E684" s="14">
        <v>183600</v>
      </c>
      <c r="F684" t="s">
        <v>640</v>
      </c>
      <c r="G684" s="15">
        <v>4.3E-3</v>
      </c>
    </row>
    <row r="685" spans="1:7" x14ac:dyDescent="0.15">
      <c r="A685" s="86">
        <v>45257</v>
      </c>
      <c r="B685" s="18">
        <v>184900</v>
      </c>
      <c r="C685" s="14">
        <v>184000</v>
      </c>
      <c r="D685" s="14">
        <v>185700</v>
      </c>
      <c r="E685" s="14">
        <v>184000</v>
      </c>
      <c r="F685" t="s">
        <v>641</v>
      </c>
      <c r="G685" s="15">
        <v>4.8999999999999998E-3</v>
      </c>
    </row>
    <row r="686" spans="1:7" x14ac:dyDescent="0.15">
      <c r="A686" s="86">
        <v>45256</v>
      </c>
      <c r="B686" s="18">
        <v>184000</v>
      </c>
      <c r="C686" s="14">
        <v>184000</v>
      </c>
      <c r="D686" s="14">
        <v>184000</v>
      </c>
      <c r="E686" s="14">
        <v>184000</v>
      </c>
      <c r="G686" s="15">
        <v>0</v>
      </c>
    </row>
    <row r="687" spans="1:7" x14ac:dyDescent="0.15">
      <c r="A687" s="86">
        <v>45254</v>
      </c>
      <c r="B687" s="18">
        <v>184000</v>
      </c>
      <c r="C687" s="14">
        <v>184600</v>
      </c>
      <c r="D687" s="14">
        <v>185600</v>
      </c>
      <c r="E687" s="14">
        <v>183900</v>
      </c>
      <c r="F687" t="s">
        <v>642</v>
      </c>
      <c r="G687" s="15">
        <v>-4.3E-3</v>
      </c>
    </row>
    <row r="688" spans="1:7" x14ac:dyDescent="0.15">
      <c r="A688" s="86">
        <v>45253</v>
      </c>
      <c r="B688" s="18">
        <v>184800</v>
      </c>
      <c r="C688" s="14">
        <v>183600</v>
      </c>
      <c r="D688" s="14">
        <v>185000</v>
      </c>
      <c r="E688" s="14">
        <v>182400</v>
      </c>
      <c r="F688" t="s">
        <v>643</v>
      </c>
      <c r="G688" s="15">
        <v>9.7999999999999997E-3</v>
      </c>
    </row>
    <row r="689" spans="1:7" x14ac:dyDescent="0.15">
      <c r="A689" s="86">
        <v>45252</v>
      </c>
      <c r="B689" s="18">
        <v>183000</v>
      </c>
      <c r="C689" s="14">
        <v>182300</v>
      </c>
      <c r="D689" s="14">
        <v>183400</v>
      </c>
      <c r="E689" s="14">
        <v>181200</v>
      </c>
      <c r="F689" t="s">
        <v>644</v>
      </c>
      <c r="G689" s="15">
        <v>-6.4999999999999997E-3</v>
      </c>
    </row>
    <row r="690" spans="1:7" x14ac:dyDescent="0.15">
      <c r="A690" s="86">
        <v>45251</v>
      </c>
      <c r="B690" s="18">
        <v>184200</v>
      </c>
      <c r="C690" s="14">
        <v>184700</v>
      </c>
      <c r="D690" s="14">
        <v>184800</v>
      </c>
      <c r="E690" s="14">
        <v>183500</v>
      </c>
      <c r="F690" t="s">
        <v>645</v>
      </c>
      <c r="G690" s="15">
        <v>3.3E-3</v>
      </c>
    </row>
    <row r="691" spans="1:7" x14ac:dyDescent="0.15">
      <c r="A691" s="86">
        <v>45250</v>
      </c>
      <c r="B691" s="18">
        <v>183600</v>
      </c>
      <c r="C691" s="14">
        <v>184400</v>
      </c>
      <c r="D691" s="14">
        <v>184900</v>
      </c>
      <c r="E691" s="14">
        <v>182100</v>
      </c>
      <c r="F691" t="s">
        <v>646</v>
      </c>
      <c r="G691" s="15">
        <v>-4.3E-3</v>
      </c>
    </row>
    <row r="692" spans="1:7" x14ac:dyDescent="0.15">
      <c r="A692" s="86">
        <v>45249</v>
      </c>
      <c r="B692" s="18">
        <v>184400</v>
      </c>
      <c r="C692" s="14">
        <v>184400</v>
      </c>
      <c r="D692" s="14">
        <v>184400</v>
      </c>
      <c r="E692" s="14">
        <v>184400</v>
      </c>
      <c r="G692" s="15">
        <v>0</v>
      </c>
    </row>
    <row r="693" spans="1:7" x14ac:dyDescent="0.15">
      <c r="A693" s="86">
        <v>45247</v>
      </c>
      <c r="B693" s="18">
        <v>184400</v>
      </c>
      <c r="C693" s="14">
        <v>185900</v>
      </c>
      <c r="D693" s="14">
        <v>185900</v>
      </c>
      <c r="E693" s="14">
        <v>183500</v>
      </c>
      <c r="F693" t="s">
        <v>647</v>
      </c>
      <c r="G693" s="15">
        <v>-2.2000000000000001E-3</v>
      </c>
    </row>
    <row r="694" spans="1:7" x14ac:dyDescent="0.15">
      <c r="A694" s="86">
        <v>45246</v>
      </c>
      <c r="B694" s="18">
        <v>184800</v>
      </c>
      <c r="C694" s="14">
        <v>182500</v>
      </c>
      <c r="D694" s="14">
        <v>186400</v>
      </c>
      <c r="E694" s="14">
        <v>181800</v>
      </c>
      <c r="F694" t="s">
        <v>648</v>
      </c>
      <c r="G694" s="15">
        <v>1.26E-2</v>
      </c>
    </row>
    <row r="695" spans="1:7" x14ac:dyDescent="0.15">
      <c r="A695" s="86">
        <v>45245</v>
      </c>
      <c r="B695" s="18">
        <v>182500</v>
      </c>
      <c r="C695" s="14">
        <v>178700</v>
      </c>
      <c r="D695" s="14">
        <v>182600</v>
      </c>
      <c r="E695" s="14">
        <v>178600</v>
      </c>
      <c r="F695" t="s">
        <v>649</v>
      </c>
      <c r="G695" s="15">
        <v>4.1700000000000001E-2</v>
      </c>
    </row>
    <row r="696" spans="1:7" x14ac:dyDescent="0.15">
      <c r="A696" s="86">
        <v>45244</v>
      </c>
      <c r="B696" s="18">
        <v>175200</v>
      </c>
      <c r="C696" s="14">
        <v>174900</v>
      </c>
      <c r="D696" s="14">
        <v>175900</v>
      </c>
      <c r="E696" s="14">
        <v>173900</v>
      </c>
      <c r="F696" t="s">
        <v>650</v>
      </c>
      <c r="G696" s="15">
        <v>1.0999999999999999E-2</v>
      </c>
    </row>
    <row r="697" spans="1:7" x14ac:dyDescent="0.15">
      <c r="A697" s="86">
        <v>45243</v>
      </c>
      <c r="B697" s="18">
        <v>173300</v>
      </c>
      <c r="C697" s="14">
        <v>175000</v>
      </c>
      <c r="D697" s="14">
        <v>175000</v>
      </c>
      <c r="E697" s="14">
        <v>172800</v>
      </c>
      <c r="F697" t="s">
        <v>651</v>
      </c>
      <c r="G697" s="15">
        <v>-2.3E-3</v>
      </c>
    </row>
    <row r="698" spans="1:7" x14ac:dyDescent="0.15">
      <c r="A698" s="86">
        <v>45240</v>
      </c>
      <c r="B698" s="18">
        <v>173700</v>
      </c>
      <c r="C698" s="14">
        <v>173800</v>
      </c>
      <c r="D698" s="14">
        <v>175300</v>
      </c>
      <c r="E698" s="14">
        <v>173500</v>
      </c>
      <c r="F698" t="s">
        <v>652</v>
      </c>
      <c r="G698" s="15">
        <v>-5.7000000000000002E-3</v>
      </c>
    </row>
    <row r="699" spans="1:7" x14ac:dyDescent="0.15">
      <c r="A699" s="86">
        <v>45239</v>
      </c>
      <c r="B699" s="18">
        <v>174700</v>
      </c>
      <c r="C699" s="14">
        <v>174700</v>
      </c>
      <c r="D699" s="14">
        <v>175700</v>
      </c>
      <c r="E699" s="14">
        <v>174200</v>
      </c>
      <c r="F699" t="s">
        <v>653</v>
      </c>
      <c r="G699" s="15">
        <v>-5.9999999999999995E-4</v>
      </c>
    </row>
    <row r="700" spans="1:7" x14ac:dyDescent="0.15">
      <c r="A700" s="86">
        <v>45238</v>
      </c>
      <c r="B700" s="18">
        <v>174800</v>
      </c>
      <c r="C700" s="14">
        <v>177900</v>
      </c>
      <c r="D700" s="14">
        <v>179000</v>
      </c>
      <c r="E700" s="14">
        <v>174500</v>
      </c>
      <c r="F700" t="s">
        <v>654</v>
      </c>
      <c r="G700" s="15">
        <v>-7.4000000000000003E-3</v>
      </c>
    </row>
    <row r="701" spans="1:7" x14ac:dyDescent="0.15">
      <c r="A701" s="86">
        <v>45237</v>
      </c>
      <c r="B701" s="18">
        <v>176100</v>
      </c>
      <c r="C701" s="14">
        <v>177500</v>
      </c>
      <c r="D701" s="14">
        <v>177500</v>
      </c>
      <c r="E701" s="14">
        <v>174200</v>
      </c>
      <c r="F701" t="s">
        <v>655</v>
      </c>
      <c r="G701" s="15">
        <v>-1.01E-2</v>
      </c>
    </row>
    <row r="702" spans="1:7" x14ac:dyDescent="0.15">
      <c r="A702" s="86">
        <v>45236</v>
      </c>
      <c r="B702" s="18">
        <v>177900</v>
      </c>
      <c r="C702" s="14">
        <v>175400</v>
      </c>
      <c r="D702" s="14">
        <v>177900</v>
      </c>
      <c r="E702" s="14">
        <v>174900</v>
      </c>
      <c r="F702" t="s">
        <v>656</v>
      </c>
      <c r="G702" s="15">
        <v>2.5999999999999999E-2</v>
      </c>
    </row>
    <row r="703" spans="1:7" x14ac:dyDescent="0.15">
      <c r="A703" s="86">
        <v>45233</v>
      </c>
      <c r="B703" s="18">
        <v>173400</v>
      </c>
      <c r="C703" s="14">
        <v>175000</v>
      </c>
      <c r="D703" s="14">
        <v>175400</v>
      </c>
      <c r="E703" s="14">
        <v>172700</v>
      </c>
      <c r="F703" t="s">
        <v>657</v>
      </c>
      <c r="G703" s="15">
        <v>8.0999999999999996E-3</v>
      </c>
    </row>
    <row r="704" spans="1:7" x14ac:dyDescent="0.15">
      <c r="A704" s="86">
        <v>45232</v>
      </c>
      <c r="B704" s="18">
        <v>172000</v>
      </c>
      <c r="C704" s="14">
        <v>172000</v>
      </c>
      <c r="D704" s="14">
        <v>175100</v>
      </c>
      <c r="E704" s="14">
        <v>171500</v>
      </c>
      <c r="F704" t="s">
        <v>658</v>
      </c>
      <c r="G704" s="15">
        <v>0.01</v>
      </c>
    </row>
    <row r="705" spans="1:7" x14ac:dyDescent="0.15">
      <c r="A705" s="86">
        <v>45231</v>
      </c>
      <c r="B705" s="18">
        <v>170300</v>
      </c>
      <c r="C705" s="14">
        <v>170800</v>
      </c>
      <c r="D705" s="14">
        <v>171500</v>
      </c>
      <c r="E705" s="14">
        <v>169400</v>
      </c>
      <c r="F705" t="s">
        <v>659</v>
      </c>
      <c r="G705" s="15">
        <v>3.5000000000000001E-3</v>
      </c>
    </row>
    <row r="706" spans="1:7" x14ac:dyDescent="0.15">
      <c r="A706" s="86">
        <v>45230</v>
      </c>
      <c r="B706" s="18">
        <v>169700</v>
      </c>
      <c r="C706" s="14">
        <v>174300</v>
      </c>
      <c r="D706" s="14">
        <v>175900</v>
      </c>
      <c r="E706" s="14">
        <v>169300</v>
      </c>
      <c r="F706" t="s">
        <v>660</v>
      </c>
      <c r="G706" s="15">
        <v>-1.6199999999999999E-2</v>
      </c>
    </row>
    <row r="707" spans="1:7" x14ac:dyDescent="0.15">
      <c r="A707" s="86">
        <v>45229</v>
      </c>
      <c r="B707" s="18">
        <v>172500</v>
      </c>
      <c r="C707" s="14">
        <v>175000</v>
      </c>
      <c r="D707" s="14">
        <v>176300</v>
      </c>
      <c r="E707" s="14">
        <v>171400</v>
      </c>
      <c r="F707" t="s">
        <v>661</v>
      </c>
      <c r="G707" s="15">
        <v>-1.77E-2</v>
      </c>
    </row>
    <row r="708" spans="1:7" x14ac:dyDescent="0.15">
      <c r="A708" s="86">
        <v>45228</v>
      </c>
      <c r="B708" s="18">
        <v>175600</v>
      </c>
      <c r="C708" s="14">
        <v>175600</v>
      </c>
      <c r="D708" s="14">
        <v>175600</v>
      </c>
      <c r="E708" s="14">
        <v>175600</v>
      </c>
      <c r="G708" s="15">
        <v>0</v>
      </c>
    </row>
    <row r="709" spans="1:7" x14ac:dyDescent="0.15">
      <c r="A709" s="86">
        <v>45226</v>
      </c>
      <c r="B709" s="18">
        <v>175600</v>
      </c>
      <c r="C709" s="14">
        <v>181200</v>
      </c>
      <c r="D709" s="14">
        <v>182900</v>
      </c>
      <c r="E709" s="14">
        <v>174600</v>
      </c>
      <c r="F709" t="s">
        <v>662</v>
      </c>
      <c r="G709" s="15">
        <v>-2.1700000000000001E-2</v>
      </c>
    </row>
    <row r="710" spans="1:7" x14ac:dyDescent="0.15">
      <c r="A710" s="86">
        <v>45225</v>
      </c>
      <c r="B710" s="18">
        <v>179500</v>
      </c>
      <c r="C710" s="14">
        <v>180300</v>
      </c>
      <c r="D710" s="14">
        <v>182500</v>
      </c>
      <c r="E710" s="14">
        <v>178500</v>
      </c>
      <c r="F710" t="s">
        <v>663</v>
      </c>
      <c r="G710" s="15">
        <v>-1.37E-2</v>
      </c>
    </row>
    <row r="711" spans="1:7" x14ac:dyDescent="0.15">
      <c r="A711" s="86">
        <v>45224</v>
      </c>
      <c r="B711" s="18">
        <v>182000</v>
      </c>
      <c r="C711" s="14">
        <v>182700</v>
      </c>
      <c r="D711" s="14">
        <v>183700</v>
      </c>
      <c r="E711" s="14">
        <v>182000</v>
      </c>
      <c r="F711" t="s">
        <v>664</v>
      </c>
      <c r="G711" s="15">
        <v>-4.4000000000000003E-3</v>
      </c>
    </row>
    <row r="712" spans="1:7" x14ac:dyDescent="0.15">
      <c r="A712" s="86">
        <v>45223</v>
      </c>
      <c r="B712" s="18">
        <v>182800</v>
      </c>
      <c r="C712" s="14">
        <v>186900</v>
      </c>
      <c r="D712" s="14">
        <v>187000</v>
      </c>
      <c r="E712" s="14">
        <v>181400</v>
      </c>
      <c r="F712" t="s">
        <v>665</v>
      </c>
      <c r="G712" s="15">
        <v>-1.4E-2</v>
      </c>
    </row>
    <row r="713" spans="1:7" x14ac:dyDescent="0.15">
      <c r="A713" s="86">
        <v>45222</v>
      </c>
      <c r="B713" s="18">
        <v>185400</v>
      </c>
      <c r="C713" s="14">
        <v>184200</v>
      </c>
      <c r="D713" s="14">
        <v>186100</v>
      </c>
      <c r="E713" s="14">
        <v>183800</v>
      </c>
      <c r="F713" t="s">
        <v>666</v>
      </c>
      <c r="G713" s="15">
        <v>1.04E-2</v>
      </c>
    </row>
    <row r="714" spans="1:7" x14ac:dyDescent="0.15">
      <c r="A714" s="86">
        <v>45221</v>
      </c>
      <c r="B714" s="18">
        <v>183500</v>
      </c>
      <c r="C714" s="14">
        <v>183500</v>
      </c>
      <c r="D714" s="14">
        <v>183500</v>
      </c>
      <c r="E714" s="14">
        <v>183500</v>
      </c>
      <c r="G714" s="15">
        <v>0</v>
      </c>
    </row>
    <row r="715" spans="1:7" x14ac:dyDescent="0.15">
      <c r="A715" s="86">
        <v>45219</v>
      </c>
      <c r="B715" s="18">
        <v>183500</v>
      </c>
      <c r="C715" s="14">
        <v>187800</v>
      </c>
      <c r="D715" s="14">
        <v>188600</v>
      </c>
      <c r="E715" s="14">
        <v>183500</v>
      </c>
      <c r="F715" t="s">
        <v>667</v>
      </c>
      <c r="G715" s="15">
        <v>-2.86E-2</v>
      </c>
    </row>
    <row r="716" spans="1:7" x14ac:dyDescent="0.15">
      <c r="A716" s="86">
        <v>45218</v>
      </c>
      <c r="B716" s="18">
        <v>188900</v>
      </c>
      <c r="C716" s="14">
        <v>189900</v>
      </c>
      <c r="D716" s="14">
        <v>190800</v>
      </c>
      <c r="E716" s="14">
        <v>188800</v>
      </c>
      <c r="F716" t="s">
        <v>668</v>
      </c>
      <c r="G716" s="15">
        <v>-1.5100000000000001E-2</v>
      </c>
    </row>
    <row r="717" spans="1:7" x14ac:dyDescent="0.15">
      <c r="A717" s="86">
        <v>45217</v>
      </c>
      <c r="B717" s="18">
        <v>191800</v>
      </c>
      <c r="C717" s="14">
        <v>190400</v>
      </c>
      <c r="D717" s="14">
        <v>193000</v>
      </c>
      <c r="E717" s="14">
        <v>189500</v>
      </c>
      <c r="F717" t="s">
        <v>669</v>
      </c>
      <c r="G717" s="15">
        <v>1.7500000000000002E-2</v>
      </c>
    </row>
    <row r="718" spans="1:7" x14ac:dyDescent="0.15">
      <c r="A718" s="86">
        <v>45216</v>
      </c>
      <c r="B718" s="18">
        <v>188500</v>
      </c>
      <c r="C718" s="14">
        <v>188300</v>
      </c>
      <c r="D718" s="14">
        <v>189300</v>
      </c>
      <c r="E718" s="14">
        <v>187100</v>
      </c>
      <c r="F718" t="s">
        <v>670</v>
      </c>
      <c r="G718" s="15">
        <v>9.1000000000000004E-3</v>
      </c>
    </row>
    <row r="719" spans="1:7" x14ac:dyDescent="0.15">
      <c r="A719" s="86">
        <v>45215</v>
      </c>
      <c r="B719" s="18">
        <v>186800</v>
      </c>
      <c r="C719" s="14">
        <v>186900</v>
      </c>
      <c r="D719" s="14">
        <v>188300</v>
      </c>
      <c r="E719" s="14">
        <v>186500</v>
      </c>
      <c r="F719" t="s">
        <v>671</v>
      </c>
      <c r="G719" s="15">
        <v>-1.6000000000000001E-3</v>
      </c>
    </row>
    <row r="720" spans="1:7" x14ac:dyDescent="0.15">
      <c r="A720" s="86">
        <v>45214</v>
      </c>
      <c r="B720" s="18">
        <v>187100</v>
      </c>
      <c r="C720" s="14">
        <v>187100</v>
      </c>
      <c r="D720" s="14">
        <v>187100</v>
      </c>
      <c r="E720" s="14">
        <v>187100</v>
      </c>
      <c r="G720" s="15">
        <v>0</v>
      </c>
    </row>
    <row r="721" spans="1:7" x14ac:dyDescent="0.15">
      <c r="A721" s="86">
        <v>45212</v>
      </c>
      <c r="B721" s="18">
        <v>187100</v>
      </c>
      <c r="C721" s="14">
        <v>187500</v>
      </c>
      <c r="D721" s="14">
        <v>188400</v>
      </c>
      <c r="E721" s="14">
        <v>187100</v>
      </c>
      <c r="F721" t="s">
        <v>672</v>
      </c>
      <c r="G721" s="15">
        <v>-4.7999999999999996E-3</v>
      </c>
    </row>
    <row r="722" spans="1:7" x14ac:dyDescent="0.15">
      <c r="A722" s="86">
        <v>45211</v>
      </c>
      <c r="B722" s="18">
        <v>188000</v>
      </c>
      <c r="C722" s="14">
        <v>189600</v>
      </c>
      <c r="D722" s="14">
        <v>189800</v>
      </c>
      <c r="E722" s="14">
        <v>187700</v>
      </c>
      <c r="F722" t="s">
        <v>673</v>
      </c>
      <c r="G722" s="15">
        <v>-7.4000000000000003E-3</v>
      </c>
    </row>
    <row r="723" spans="1:7" x14ac:dyDescent="0.15">
      <c r="A723" s="86">
        <v>45210</v>
      </c>
      <c r="B723" s="18">
        <v>189400</v>
      </c>
      <c r="C723" s="14">
        <v>189000</v>
      </c>
      <c r="D723" s="14">
        <v>191400</v>
      </c>
      <c r="E723" s="14">
        <v>189000</v>
      </c>
      <c r="F723" t="s">
        <v>674</v>
      </c>
      <c r="G723" s="15">
        <v>5.3E-3</v>
      </c>
    </row>
    <row r="724" spans="1:7" x14ac:dyDescent="0.15">
      <c r="A724" s="86">
        <v>45209</v>
      </c>
      <c r="B724" s="18">
        <v>188400</v>
      </c>
      <c r="C724" s="14">
        <v>192700</v>
      </c>
      <c r="D724" s="14">
        <v>192800</v>
      </c>
      <c r="E724" s="14">
        <v>187700</v>
      </c>
      <c r="F724" t="s">
        <v>675</v>
      </c>
      <c r="G724" s="15">
        <v>-1.9800000000000002E-2</v>
      </c>
    </row>
    <row r="725" spans="1:7" x14ac:dyDescent="0.15">
      <c r="A725" s="86">
        <v>45208</v>
      </c>
      <c r="B725" s="18">
        <v>192200</v>
      </c>
      <c r="C725" s="14">
        <v>192200</v>
      </c>
      <c r="D725" s="14">
        <v>192200</v>
      </c>
      <c r="E725" s="14">
        <v>192200</v>
      </c>
      <c r="G725" s="15">
        <v>0</v>
      </c>
    </row>
    <row r="726" spans="1:7" x14ac:dyDescent="0.15">
      <c r="A726" s="86">
        <v>45205</v>
      </c>
      <c r="B726" s="18">
        <v>192200</v>
      </c>
      <c r="C726" s="14">
        <v>191000</v>
      </c>
      <c r="D726" s="14">
        <v>192600</v>
      </c>
      <c r="E726" s="14">
        <v>189600</v>
      </c>
      <c r="F726" t="s">
        <v>676</v>
      </c>
      <c r="G726" s="15">
        <v>8.8999999999999999E-3</v>
      </c>
    </row>
    <row r="727" spans="1:7" x14ac:dyDescent="0.15">
      <c r="A727" s="86">
        <v>45204</v>
      </c>
      <c r="B727" s="18">
        <v>190500</v>
      </c>
      <c r="C727" s="14">
        <v>190900</v>
      </c>
      <c r="D727" s="14">
        <v>192200</v>
      </c>
      <c r="E727" s="14">
        <v>189500</v>
      </c>
      <c r="F727" t="s">
        <v>677</v>
      </c>
      <c r="G727" s="15">
        <v>-1.6000000000000001E-3</v>
      </c>
    </row>
    <row r="728" spans="1:7" x14ac:dyDescent="0.15">
      <c r="A728" s="86">
        <v>45203</v>
      </c>
      <c r="B728" s="18">
        <v>190800</v>
      </c>
      <c r="C728" s="14">
        <v>188000</v>
      </c>
      <c r="D728" s="14">
        <v>193200</v>
      </c>
      <c r="E728" s="14">
        <v>187100</v>
      </c>
      <c r="F728" t="s">
        <v>678</v>
      </c>
      <c r="G728" s="15">
        <v>-1.6000000000000001E-3</v>
      </c>
    </row>
    <row r="729" spans="1:7" x14ac:dyDescent="0.15">
      <c r="A729" s="86">
        <v>45202</v>
      </c>
      <c r="B729" s="18">
        <v>191100</v>
      </c>
      <c r="C729" s="14">
        <v>191100</v>
      </c>
      <c r="D729" s="14">
        <v>191100</v>
      </c>
      <c r="E729" s="14">
        <v>191100</v>
      </c>
      <c r="G729" s="15">
        <v>0</v>
      </c>
    </row>
    <row r="730" spans="1:7" x14ac:dyDescent="0.15">
      <c r="A730" s="86">
        <v>45196</v>
      </c>
      <c r="B730" s="18">
        <v>191100</v>
      </c>
      <c r="C730" s="14">
        <v>189200</v>
      </c>
      <c r="D730" s="14">
        <v>192400</v>
      </c>
      <c r="E730" s="14">
        <v>189000</v>
      </c>
      <c r="F730" t="s">
        <v>679</v>
      </c>
      <c r="G730" s="15">
        <v>2.0999999999999999E-3</v>
      </c>
    </row>
    <row r="731" spans="1:7" x14ac:dyDescent="0.15">
      <c r="A731" s="86">
        <v>45195</v>
      </c>
      <c r="B731" s="18">
        <v>190700</v>
      </c>
      <c r="C731" s="14">
        <v>191600</v>
      </c>
      <c r="D731" s="14">
        <v>192900</v>
      </c>
      <c r="E731" s="14">
        <v>189900</v>
      </c>
      <c r="F731" t="s">
        <v>680</v>
      </c>
      <c r="G731" s="15">
        <v>-1.14E-2</v>
      </c>
    </row>
    <row r="732" spans="1:7" x14ac:dyDescent="0.15">
      <c r="A732" s="86">
        <v>45194</v>
      </c>
      <c r="B732" s="18">
        <v>192900</v>
      </c>
      <c r="C732" s="14">
        <v>191700</v>
      </c>
      <c r="D732" s="14">
        <v>193500</v>
      </c>
      <c r="E732" s="14">
        <v>189600</v>
      </c>
      <c r="F732" t="s">
        <v>681</v>
      </c>
      <c r="G732" s="15">
        <v>7.3000000000000001E-3</v>
      </c>
    </row>
    <row r="733" spans="1:7" x14ac:dyDescent="0.15">
      <c r="A733" s="86">
        <v>45193</v>
      </c>
      <c r="B733" s="18">
        <v>191500</v>
      </c>
      <c r="C733" s="14">
        <v>191500</v>
      </c>
      <c r="D733" s="14">
        <v>191500</v>
      </c>
      <c r="E733" s="14">
        <v>191500</v>
      </c>
      <c r="G733" s="15">
        <v>0</v>
      </c>
    </row>
    <row r="734" spans="1:7" x14ac:dyDescent="0.15">
      <c r="A734" s="86">
        <v>45191</v>
      </c>
      <c r="B734" s="18">
        <v>191500</v>
      </c>
      <c r="C734" s="14">
        <v>189600</v>
      </c>
      <c r="D734" s="14">
        <v>192400</v>
      </c>
      <c r="E734" s="14">
        <v>189200</v>
      </c>
      <c r="F734" t="s">
        <v>682</v>
      </c>
      <c r="G734" s="15">
        <v>-2.0999999999999999E-3</v>
      </c>
    </row>
    <row r="735" spans="1:7" x14ac:dyDescent="0.15">
      <c r="A735" s="86">
        <v>45190</v>
      </c>
      <c r="B735" s="18">
        <v>191900</v>
      </c>
      <c r="C735" s="14">
        <v>194400</v>
      </c>
      <c r="D735" s="14">
        <v>194500</v>
      </c>
      <c r="E735" s="14">
        <v>191600</v>
      </c>
      <c r="F735" t="s">
        <v>683</v>
      </c>
      <c r="G735" s="15">
        <v>-1.54E-2</v>
      </c>
    </row>
    <row r="736" spans="1:7" x14ac:dyDescent="0.15">
      <c r="A736" s="86">
        <v>45189</v>
      </c>
      <c r="B736" s="18">
        <v>194900</v>
      </c>
      <c r="C736" s="14">
        <v>190600</v>
      </c>
      <c r="D736" s="14">
        <v>196000</v>
      </c>
      <c r="E736" s="14">
        <v>190000</v>
      </c>
      <c r="F736" t="s">
        <v>684</v>
      </c>
      <c r="G736" s="15">
        <v>2.58E-2</v>
      </c>
    </row>
    <row r="737" spans="1:7" x14ac:dyDescent="0.15">
      <c r="A737" s="86">
        <v>45188</v>
      </c>
      <c r="B737" s="18">
        <v>190000</v>
      </c>
      <c r="C737" s="14">
        <v>191500</v>
      </c>
      <c r="D737" s="14">
        <v>193200</v>
      </c>
      <c r="E737" s="14">
        <v>190000</v>
      </c>
      <c r="F737" t="s">
        <v>685</v>
      </c>
      <c r="G737" s="15">
        <v>-5.1999999999999998E-3</v>
      </c>
    </row>
    <row r="738" spans="1:7" x14ac:dyDescent="0.15">
      <c r="A738" s="86">
        <v>45187</v>
      </c>
      <c r="B738" s="18">
        <v>191000</v>
      </c>
      <c r="C738" s="14">
        <v>191200</v>
      </c>
      <c r="D738" s="14">
        <v>192200</v>
      </c>
      <c r="E738" s="14">
        <v>190200</v>
      </c>
      <c r="F738" t="s">
        <v>686</v>
      </c>
      <c r="G738" s="15">
        <v>-6.1999999999999998E-3</v>
      </c>
    </row>
    <row r="739" spans="1:7" x14ac:dyDescent="0.15">
      <c r="A739" s="86">
        <v>45186</v>
      </c>
      <c r="B739" s="18">
        <v>192200</v>
      </c>
      <c r="C739" s="14">
        <v>192200</v>
      </c>
      <c r="D739" s="14">
        <v>192200</v>
      </c>
      <c r="E739" s="14">
        <v>192200</v>
      </c>
      <c r="G739" s="15">
        <v>0</v>
      </c>
    </row>
    <row r="740" spans="1:7" x14ac:dyDescent="0.15">
      <c r="A740" s="86">
        <v>45184</v>
      </c>
      <c r="B740" s="18">
        <v>192200</v>
      </c>
      <c r="C740" s="14">
        <v>190700</v>
      </c>
      <c r="D740" s="14">
        <v>192700</v>
      </c>
      <c r="E740" s="14">
        <v>189100</v>
      </c>
      <c r="F740" t="s">
        <v>687</v>
      </c>
      <c r="G740" s="15">
        <v>7.9000000000000008E-3</v>
      </c>
    </row>
    <row r="741" spans="1:7" x14ac:dyDescent="0.15">
      <c r="A741" s="86">
        <v>45183</v>
      </c>
      <c r="B741" s="18">
        <v>190700</v>
      </c>
      <c r="C741" s="14">
        <v>191200</v>
      </c>
      <c r="D741" s="14">
        <v>191200</v>
      </c>
      <c r="E741" s="14">
        <v>188600</v>
      </c>
      <c r="F741" t="s">
        <v>688</v>
      </c>
      <c r="G741" s="15">
        <v>4.7000000000000002E-3</v>
      </c>
    </row>
    <row r="742" spans="1:7" x14ac:dyDescent="0.15">
      <c r="A742" s="86">
        <v>45182</v>
      </c>
      <c r="B742" s="18">
        <v>189800</v>
      </c>
      <c r="C742" s="14">
        <v>187300</v>
      </c>
      <c r="D742" s="14">
        <v>190700</v>
      </c>
      <c r="E742" s="14">
        <v>187200</v>
      </c>
      <c r="F742" t="s">
        <v>689</v>
      </c>
      <c r="G742" s="15">
        <v>1.9300000000000001E-2</v>
      </c>
    </row>
    <row r="743" spans="1:7" x14ac:dyDescent="0.15">
      <c r="A743" s="86">
        <v>45181</v>
      </c>
      <c r="B743" s="18">
        <v>186200</v>
      </c>
      <c r="C743" s="14">
        <v>186500</v>
      </c>
      <c r="D743" s="14">
        <v>188400</v>
      </c>
      <c r="E743" s="14">
        <v>185600</v>
      </c>
      <c r="F743" t="s">
        <v>690</v>
      </c>
      <c r="G743" s="15">
        <v>3.8E-3</v>
      </c>
    </row>
    <row r="744" spans="1:7" x14ac:dyDescent="0.15">
      <c r="A744" s="86">
        <v>45180</v>
      </c>
      <c r="B744" s="18">
        <v>185500</v>
      </c>
      <c r="C744" s="14">
        <v>185700</v>
      </c>
      <c r="D744" s="14">
        <v>186300</v>
      </c>
      <c r="E744" s="14">
        <v>184400</v>
      </c>
      <c r="F744" t="s">
        <v>691</v>
      </c>
      <c r="G744" s="15">
        <v>-1.1000000000000001E-3</v>
      </c>
    </row>
    <row r="745" spans="1:7" x14ac:dyDescent="0.15">
      <c r="A745" s="86">
        <v>45179</v>
      </c>
      <c r="B745" s="18">
        <v>185700</v>
      </c>
      <c r="C745" s="14">
        <v>185700</v>
      </c>
      <c r="D745" s="14">
        <v>185700</v>
      </c>
      <c r="E745" s="14">
        <v>185700</v>
      </c>
      <c r="G745" s="15">
        <v>0</v>
      </c>
    </row>
    <row r="746" spans="1:7" x14ac:dyDescent="0.15">
      <c r="A746" s="86">
        <v>45177</v>
      </c>
      <c r="B746" s="18">
        <v>185700</v>
      </c>
      <c r="C746" s="14">
        <v>187500</v>
      </c>
      <c r="D746" s="14">
        <v>187500</v>
      </c>
      <c r="E746" s="14">
        <v>185200</v>
      </c>
      <c r="F746" t="s">
        <v>692</v>
      </c>
      <c r="G746" s="15">
        <v>-8.0000000000000002E-3</v>
      </c>
    </row>
    <row r="747" spans="1:7" x14ac:dyDescent="0.15">
      <c r="A747" s="86">
        <v>45176</v>
      </c>
      <c r="B747" s="18">
        <v>187200</v>
      </c>
      <c r="C747" s="14">
        <v>185500</v>
      </c>
      <c r="D747" s="14">
        <v>187200</v>
      </c>
      <c r="E747" s="14">
        <v>185400</v>
      </c>
      <c r="F747" t="s">
        <v>693</v>
      </c>
      <c r="G747" s="15">
        <v>2.7000000000000001E-3</v>
      </c>
    </row>
    <row r="748" spans="1:7" x14ac:dyDescent="0.15">
      <c r="A748" s="86">
        <v>45175</v>
      </c>
      <c r="B748" s="18">
        <v>186700</v>
      </c>
      <c r="C748" s="14">
        <v>186000</v>
      </c>
      <c r="D748" s="14">
        <v>188300</v>
      </c>
      <c r="E748" s="14">
        <v>186000</v>
      </c>
      <c r="F748" t="s">
        <v>694</v>
      </c>
      <c r="G748" s="15">
        <v>5.0000000000000001E-4</v>
      </c>
    </row>
    <row r="749" spans="1:7" x14ac:dyDescent="0.15">
      <c r="A749" s="86">
        <v>45174</v>
      </c>
      <c r="B749" s="18">
        <v>186600</v>
      </c>
      <c r="C749" s="14">
        <v>186500</v>
      </c>
      <c r="D749" s="14">
        <v>186900</v>
      </c>
      <c r="E749" s="14">
        <v>185600</v>
      </c>
      <c r="F749" t="s">
        <v>695</v>
      </c>
      <c r="G749" s="15">
        <v>-3.7000000000000002E-3</v>
      </c>
    </row>
    <row r="750" spans="1:7" x14ac:dyDescent="0.15">
      <c r="A750" s="86">
        <v>45173</v>
      </c>
      <c r="B750" s="18">
        <v>187300</v>
      </c>
      <c r="C750" s="14">
        <v>186400</v>
      </c>
      <c r="D750" s="14">
        <v>187400</v>
      </c>
      <c r="E750" s="14">
        <v>185600</v>
      </c>
      <c r="F750" t="s">
        <v>696</v>
      </c>
      <c r="G750" s="15">
        <v>-5.0000000000000001E-4</v>
      </c>
    </row>
    <row r="751" spans="1:7" x14ac:dyDescent="0.15">
      <c r="A751" s="86">
        <v>45172</v>
      </c>
      <c r="B751" s="18">
        <v>187400</v>
      </c>
      <c r="C751" s="14">
        <v>187400</v>
      </c>
      <c r="D751" s="14">
        <v>187400</v>
      </c>
      <c r="E751" s="14">
        <v>187400</v>
      </c>
      <c r="G751" s="15">
        <v>0</v>
      </c>
    </row>
    <row r="752" spans="1:7" x14ac:dyDescent="0.15">
      <c r="A752" s="86">
        <v>45170</v>
      </c>
      <c r="B752" s="18">
        <v>187400</v>
      </c>
      <c r="C752" s="14">
        <v>188000</v>
      </c>
      <c r="D752" s="14">
        <v>188900</v>
      </c>
      <c r="E752" s="14">
        <v>186700</v>
      </c>
      <c r="F752" t="s">
        <v>697</v>
      </c>
      <c r="G752" s="15">
        <v>-8.9999999999999993E-3</v>
      </c>
    </row>
    <row r="753" spans="1:7" x14ac:dyDescent="0.15">
      <c r="A753" s="86">
        <v>45169</v>
      </c>
      <c r="B753" s="18">
        <v>189100</v>
      </c>
      <c r="C753" s="14">
        <v>187800</v>
      </c>
      <c r="D753" s="14">
        <v>189100</v>
      </c>
      <c r="E753" s="14">
        <v>186200</v>
      </c>
      <c r="F753" t="s">
        <v>698</v>
      </c>
      <c r="G753" s="15">
        <v>6.8999999999999999E-3</v>
      </c>
    </row>
    <row r="754" spans="1:7" x14ac:dyDescent="0.15">
      <c r="A754" s="86">
        <v>45168</v>
      </c>
      <c r="B754" s="18">
        <v>187800</v>
      </c>
      <c r="C754" s="14">
        <v>188600</v>
      </c>
      <c r="D754" s="14">
        <v>189300</v>
      </c>
      <c r="E754" s="14">
        <v>187800</v>
      </c>
      <c r="F754" t="s">
        <v>699</v>
      </c>
      <c r="G754" s="15">
        <v>5.8999999999999999E-3</v>
      </c>
    </row>
    <row r="755" spans="1:7" x14ac:dyDescent="0.15">
      <c r="A755" s="86">
        <v>45167</v>
      </c>
      <c r="B755" s="18">
        <v>186700</v>
      </c>
      <c r="C755" s="14">
        <v>185500</v>
      </c>
      <c r="D755" s="14">
        <v>188200</v>
      </c>
      <c r="E755" s="14">
        <v>185400</v>
      </c>
      <c r="F755" t="s">
        <v>700</v>
      </c>
      <c r="G755" s="15">
        <v>7.0000000000000001E-3</v>
      </c>
    </row>
    <row r="756" spans="1:7" x14ac:dyDescent="0.15">
      <c r="A756" s="86">
        <v>45166</v>
      </c>
      <c r="B756" s="18">
        <v>185400</v>
      </c>
      <c r="C756" s="14">
        <v>186200</v>
      </c>
      <c r="D756" s="14">
        <v>186900</v>
      </c>
      <c r="E756" s="14">
        <v>184700</v>
      </c>
      <c r="F756" t="s">
        <v>701</v>
      </c>
      <c r="G756" s="15">
        <v>-4.3E-3</v>
      </c>
    </row>
    <row r="757" spans="1:7" x14ac:dyDescent="0.15">
      <c r="A757" s="86">
        <v>45165</v>
      </c>
      <c r="B757" s="18">
        <v>186200</v>
      </c>
      <c r="C757" s="14">
        <v>186200</v>
      </c>
      <c r="D757" s="14">
        <v>186200</v>
      </c>
      <c r="E757" s="14">
        <v>186200</v>
      </c>
      <c r="G757" s="15">
        <v>0</v>
      </c>
    </row>
    <row r="758" spans="1:7" x14ac:dyDescent="0.15">
      <c r="A758" s="86">
        <v>45163</v>
      </c>
      <c r="B758" s="18">
        <v>186200</v>
      </c>
      <c r="C758" s="14">
        <v>184200</v>
      </c>
      <c r="D758" s="14">
        <v>187000</v>
      </c>
      <c r="E758" s="14">
        <v>184200</v>
      </c>
      <c r="F758" t="s">
        <v>702</v>
      </c>
      <c r="G758" s="15">
        <v>-1.1000000000000001E-3</v>
      </c>
    </row>
    <row r="759" spans="1:7" x14ac:dyDescent="0.15">
      <c r="A759" s="86">
        <v>45162</v>
      </c>
      <c r="B759" s="18">
        <v>186400</v>
      </c>
      <c r="C759" s="14">
        <v>188300</v>
      </c>
      <c r="D759" s="14">
        <v>189300</v>
      </c>
      <c r="E759" s="14">
        <v>186000</v>
      </c>
      <c r="F759" t="s">
        <v>703</v>
      </c>
      <c r="G759" s="15">
        <v>-5.8999999999999999E-3</v>
      </c>
    </row>
    <row r="760" spans="1:7" x14ac:dyDescent="0.15">
      <c r="A760" s="86">
        <v>45161</v>
      </c>
      <c r="B760" s="18">
        <v>187500</v>
      </c>
      <c r="C760" s="14">
        <v>186500</v>
      </c>
      <c r="D760" s="14">
        <v>188700</v>
      </c>
      <c r="E760" s="14">
        <v>186000</v>
      </c>
      <c r="F760" t="s">
        <v>704</v>
      </c>
      <c r="G760" s="15">
        <v>-2.0999999999999999E-3</v>
      </c>
    </row>
    <row r="761" spans="1:7" x14ac:dyDescent="0.15">
      <c r="A761" s="86">
        <v>45160</v>
      </c>
      <c r="B761" s="18">
        <v>187900</v>
      </c>
      <c r="C761" s="14">
        <v>186200</v>
      </c>
      <c r="D761" s="14">
        <v>187900</v>
      </c>
      <c r="E761" s="14">
        <v>186200</v>
      </c>
      <c r="F761" t="s">
        <v>705</v>
      </c>
      <c r="G761" s="15">
        <v>9.7000000000000003E-3</v>
      </c>
    </row>
    <row r="762" spans="1:7" x14ac:dyDescent="0.15">
      <c r="A762" s="86">
        <v>45159</v>
      </c>
      <c r="B762" s="18">
        <v>186100</v>
      </c>
      <c r="C762" s="14">
        <v>187000</v>
      </c>
      <c r="D762" s="14">
        <v>187200</v>
      </c>
      <c r="E762" s="14">
        <v>185300</v>
      </c>
      <c r="F762" t="s">
        <v>706</v>
      </c>
      <c r="G762" s="15">
        <v>0</v>
      </c>
    </row>
    <row r="763" spans="1:7" x14ac:dyDescent="0.15">
      <c r="A763" s="86">
        <v>45158</v>
      </c>
      <c r="B763" s="18">
        <v>186100</v>
      </c>
      <c r="C763" s="14">
        <v>186100</v>
      </c>
      <c r="D763" s="14">
        <v>186100</v>
      </c>
      <c r="E763" s="14">
        <v>186100</v>
      </c>
      <c r="G763" s="15">
        <v>0</v>
      </c>
    </row>
    <row r="764" spans="1:7" x14ac:dyDescent="0.15">
      <c r="A764" s="86">
        <v>45156</v>
      </c>
      <c r="B764" s="18">
        <v>186100</v>
      </c>
      <c r="C764" s="14">
        <v>182600</v>
      </c>
      <c r="D764" s="14">
        <v>187500</v>
      </c>
      <c r="E764" s="14">
        <v>182600</v>
      </c>
      <c r="F764" t="s">
        <v>707</v>
      </c>
      <c r="G764" s="15">
        <v>7.0000000000000001E-3</v>
      </c>
    </row>
    <row r="765" spans="1:7" x14ac:dyDescent="0.15">
      <c r="A765" s="86">
        <v>45155</v>
      </c>
      <c r="B765" s="18">
        <v>184800</v>
      </c>
      <c r="C765" s="14">
        <v>184900</v>
      </c>
      <c r="D765" s="14">
        <v>185500</v>
      </c>
      <c r="E765" s="14">
        <v>182600</v>
      </c>
      <c r="F765" t="s">
        <v>708</v>
      </c>
      <c r="G765" s="15">
        <v>-5.4000000000000003E-3</v>
      </c>
    </row>
    <row r="766" spans="1:7" x14ac:dyDescent="0.15">
      <c r="A766" s="86">
        <v>45154</v>
      </c>
      <c r="B766" s="18">
        <v>185800</v>
      </c>
      <c r="C766" s="14">
        <v>186900</v>
      </c>
      <c r="D766" s="14">
        <v>188100</v>
      </c>
      <c r="E766" s="14">
        <v>185300</v>
      </c>
      <c r="F766" t="s">
        <v>709</v>
      </c>
      <c r="G766" s="15">
        <v>-1.5900000000000001E-2</v>
      </c>
    </row>
    <row r="767" spans="1:7" x14ac:dyDescent="0.15">
      <c r="A767" s="86">
        <v>45153</v>
      </c>
      <c r="B767" s="18">
        <v>188800</v>
      </c>
      <c r="C767" s="14">
        <v>188800</v>
      </c>
      <c r="D767" s="14">
        <v>188800</v>
      </c>
      <c r="E767" s="14">
        <v>188800</v>
      </c>
      <c r="G767" s="15">
        <v>0</v>
      </c>
    </row>
    <row r="768" spans="1:7" x14ac:dyDescent="0.15">
      <c r="A768" s="86">
        <v>45152</v>
      </c>
      <c r="B768" s="18">
        <v>188800</v>
      </c>
      <c r="C768" s="14">
        <v>190000</v>
      </c>
      <c r="D768" s="14">
        <v>190500</v>
      </c>
      <c r="E768" s="14">
        <v>188300</v>
      </c>
      <c r="F768" t="s">
        <v>710</v>
      </c>
      <c r="G768" s="15">
        <v>-8.8999999999999999E-3</v>
      </c>
    </row>
    <row r="769" spans="1:7" x14ac:dyDescent="0.15">
      <c r="A769" s="86">
        <v>45151</v>
      </c>
      <c r="B769" s="18">
        <v>190500</v>
      </c>
      <c r="C769" s="14">
        <v>190500</v>
      </c>
      <c r="D769" s="14">
        <v>190500</v>
      </c>
      <c r="E769" s="14">
        <v>190500</v>
      </c>
      <c r="G769" s="15">
        <v>0</v>
      </c>
    </row>
    <row r="770" spans="1:7" x14ac:dyDescent="0.15">
      <c r="A770" s="86">
        <v>45149</v>
      </c>
      <c r="B770" s="18">
        <v>190500</v>
      </c>
      <c r="C770" s="14">
        <v>188900</v>
      </c>
      <c r="D770" s="14">
        <v>193200</v>
      </c>
      <c r="E770" s="14">
        <v>188400</v>
      </c>
      <c r="F770" t="s">
        <v>711</v>
      </c>
      <c r="G770" s="15">
        <v>1.11E-2</v>
      </c>
    </row>
    <row r="771" spans="1:7" x14ac:dyDescent="0.15">
      <c r="A771" s="86">
        <v>45148</v>
      </c>
      <c r="B771" s="18">
        <v>188400</v>
      </c>
      <c r="C771" s="14">
        <v>189000</v>
      </c>
      <c r="D771" s="14">
        <v>190300</v>
      </c>
      <c r="E771" s="14">
        <v>188100</v>
      </c>
      <c r="F771" t="s">
        <v>712</v>
      </c>
      <c r="G771" s="15">
        <v>-5.3E-3</v>
      </c>
    </row>
    <row r="772" spans="1:7" x14ac:dyDescent="0.15">
      <c r="A772" s="86">
        <v>45147</v>
      </c>
      <c r="B772" s="18">
        <v>189400</v>
      </c>
      <c r="C772" s="14">
        <v>188400</v>
      </c>
      <c r="D772" s="14">
        <v>189800</v>
      </c>
      <c r="E772" s="14">
        <v>187500</v>
      </c>
      <c r="F772" t="s">
        <v>713</v>
      </c>
      <c r="G772" s="15">
        <v>5.3E-3</v>
      </c>
    </row>
    <row r="773" spans="1:7" x14ac:dyDescent="0.15">
      <c r="A773" s="86">
        <v>45146</v>
      </c>
      <c r="B773" s="18">
        <v>188400</v>
      </c>
      <c r="C773" s="14">
        <v>188000</v>
      </c>
      <c r="D773" s="14">
        <v>190500</v>
      </c>
      <c r="E773" s="14">
        <v>187700</v>
      </c>
      <c r="F773" t="s">
        <v>714</v>
      </c>
      <c r="G773" s="15">
        <v>2.0999999999999999E-3</v>
      </c>
    </row>
    <row r="774" spans="1:7" x14ac:dyDescent="0.15">
      <c r="A774" s="86">
        <v>45145</v>
      </c>
      <c r="B774" s="18">
        <v>188000</v>
      </c>
      <c r="C774" s="14">
        <v>191000</v>
      </c>
      <c r="D774" s="14">
        <v>191100</v>
      </c>
      <c r="E774" s="14">
        <v>187300</v>
      </c>
      <c r="F774" t="s">
        <v>715</v>
      </c>
      <c r="G774" s="15">
        <v>-2.1899999999999999E-2</v>
      </c>
    </row>
    <row r="775" spans="1:7" x14ac:dyDescent="0.15">
      <c r="A775" s="86">
        <v>45144</v>
      </c>
      <c r="B775" s="18">
        <v>192200</v>
      </c>
      <c r="C775" s="14">
        <v>192200</v>
      </c>
      <c r="D775" s="14">
        <v>192200</v>
      </c>
      <c r="E775" s="14">
        <v>192200</v>
      </c>
      <c r="G775" s="15">
        <v>0</v>
      </c>
    </row>
    <row r="776" spans="1:7" x14ac:dyDescent="0.15">
      <c r="A776" s="86">
        <v>45142</v>
      </c>
      <c r="B776" s="18">
        <v>192200</v>
      </c>
      <c r="C776" s="14">
        <v>191600</v>
      </c>
      <c r="D776" s="14">
        <v>193400</v>
      </c>
      <c r="E776" s="14">
        <v>190500</v>
      </c>
      <c r="F776" t="s">
        <v>716</v>
      </c>
      <c r="G776" s="15">
        <v>2.5999999999999999E-3</v>
      </c>
    </row>
    <row r="777" spans="1:7" x14ac:dyDescent="0.15">
      <c r="A777" s="86">
        <v>45141</v>
      </c>
      <c r="B777" s="18">
        <v>191700</v>
      </c>
      <c r="C777" s="14">
        <v>192500</v>
      </c>
      <c r="D777" s="14">
        <v>194300</v>
      </c>
      <c r="E777" s="14">
        <v>190800</v>
      </c>
      <c r="F777" t="s">
        <v>717</v>
      </c>
      <c r="G777" s="15">
        <v>-4.1999999999999997E-3</v>
      </c>
    </row>
    <row r="778" spans="1:7" x14ac:dyDescent="0.15">
      <c r="A778" s="86">
        <v>45140</v>
      </c>
      <c r="B778" s="18">
        <v>192500</v>
      </c>
      <c r="C778" s="14">
        <v>197800</v>
      </c>
      <c r="D778" s="14">
        <v>198800</v>
      </c>
      <c r="E778" s="14">
        <v>192400</v>
      </c>
      <c r="F778" t="s">
        <v>718</v>
      </c>
      <c r="G778" s="15">
        <v>-3.4599999999999999E-2</v>
      </c>
    </row>
    <row r="779" spans="1:7" x14ac:dyDescent="0.15">
      <c r="A779" s="86">
        <v>45139</v>
      </c>
      <c r="B779" s="18">
        <v>199400</v>
      </c>
      <c r="C779" s="14">
        <v>195200</v>
      </c>
      <c r="D779" s="14">
        <v>199600</v>
      </c>
      <c r="E779" s="14">
        <v>194600</v>
      </c>
      <c r="F779" t="s">
        <v>719</v>
      </c>
      <c r="G779" s="15">
        <v>1.7299999999999999E-2</v>
      </c>
    </row>
    <row r="780" spans="1:7" x14ac:dyDescent="0.15">
      <c r="A780" s="86">
        <v>45138</v>
      </c>
      <c r="B780" s="18">
        <v>196000</v>
      </c>
      <c r="C780" s="14">
        <v>198000</v>
      </c>
      <c r="D780" s="14">
        <v>198200</v>
      </c>
      <c r="E780" s="14">
        <v>195100</v>
      </c>
      <c r="F780" t="s">
        <v>720</v>
      </c>
      <c r="G780" s="15">
        <v>-4.1000000000000003E-3</v>
      </c>
    </row>
    <row r="781" spans="1:7" x14ac:dyDescent="0.15">
      <c r="A781" s="86">
        <v>45137</v>
      </c>
      <c r="B781" s="18">
        <v>196800</v>
      </c>
      <c r="C781" s="14">
        <v>196800</v>
      </c>
      <c r="D781" s="14">
        <v>196800</v>
      </c>
      <c r="E781" s="14">
        <v>196800</v>
      </c>
      <c r="G781" s="15">
        <v>0</v>
      </c>
    </row>
    <row r="782" spans="1:7" x14ac:dyDescent="0.15">
      <c r="A782" s="86">
        <v>45135</v>
      </c>
      <c r="B782" s="18">
        <v>196800</v>
      </c>
      <c r="C782" s="14">
        <v>196500</v>
      </c>
      <c r="D782" s="14">
        <v>201500</v>
      </c>
      <c r="E782" s="14">
        <v>196500</v>
      </c>
      <c r="F782" t="s">
        <v>721</v>
      </c>
      <c r="G782" s="15">
        <v>-5.1000000000000004E-3</v>
      </c>
    </row>
    <row r="783" spans="1:7" x14ac:dyDescent="0.15">
      <c r="A783" s="86">
        <v>45134</v>
      </c>
      <c r="B783" s="18">
        <v>197800</v>
      </c>
      <c r="C783" s="14">
        <v>202500</v>
      </c>
      <c r="D783" s="14">
        <v>203000</v>
      </c>
      <c r="E783" s="14">
        <v>194000</v>
      </c>
      <c r="F783" t="s">
        <v>116</v>
      </c>
      <c r="G783" s="15">
        <v>-4.4999999999999997E-3</v>
      </c>
    </row>
    <row r="784" spans="1:7" x14ac:dyDescent="0.15">
      <c r="A784" s="86">
        <v>45133</v>
      </c>
      <c r="B784" s="18">
        <v>198700</v>
      </c>
      <c r="C784" s="14">
        <v>201000</v>
      </c>
      <c r="D784" s="14">
        <v>202000</v>
      </c>
      <c r="E784" s="14">
        <v>195000</v>
      </c>
      <c r="F784" t="s">
        <v>722</v>
      </c>
      <c r="G784" s="15">
        <v>-8.9999999999999993E-3</v>
      </c>
    </row>
    <row r="785" spans="1:7" x14ac:dyDescent="0.15">
      <c r="A785" s="86">
        <v>45132</v>
      </c>
      <c r="B785" s="18">
        <v>200500</v>
      </c>
      <c r="C785" s="14">
        <v>199900</v>
      </c>
      <c r="D785" s="14">
        <v>202500</v>
      </c>
      <c r="E785" s="14">
        <v>199200</v>
      </c>
      <c r="F785" t="s">
        <v>723</v>
      </c>
      <c r="G785" s="15">
        <v>6.4999999999999997E-3</v>
      </c>
    </row>
    <row r="786" spans="1:7" x14ac:dyDescent="0.15">
      <c r="A786" s="86">
        <v>45131</v>
      </c>
      <c r="B786" s="18">
        <v>199200</v>
      </c>
      <c r="C786" s="14">
        <v>199100</v>
      </c>
      <c r="D786" s="14">
        <v>200500</v>
      </c>
      <c r="E786" s="14">
        <v>197600</v>
      </c>
      <c r="F786" t="s">
        <v>724</v>
      </c>
      <c r="G786" s="15">
        <v>-4.0000000000000001E-3</v>
      </c>
    </row>
    <row r="787" spans="1:7" x14ac:dyDescent="0.15">
      <c r="A787" s="86">
        <v>45130</v>
      </c>
      <c r="B787" s="18">
        <v>200000</v>
      </c>
      <c r="C787" s="14">
        <v>200000</v>
      </c>
      <c r="D787" s="14">
        <v>200000</v>
      </c>
      <c r="E787" s="14">
        <v>200000</v>
      </c>
      <c r="G787" s="15">
        <v>0</v>
      </c>
    </row>
    <row r="788" spans="1:7" x14ac:dyDescent="0.15">
      <c r="A788" s="86">
        <v>45128</v>
      </c>
      <c r="B788" s="18">
        <v>200000</v>
      </c>
      <c r="C788" s="14">
        <v>199700</v>
      </c>
      <c r="D788" s="14">
        <v>201000</v>
      </c>
      <c r="E788" s="14">
        <v>198200</v>
      </c>
      <c r="F788" t="s">
        <v>725</v>
      </c>
      <c r="G788" s="15">
        <v>-2.5000000000000001E-3</v>
      </c>
    </row>
    <row r="789" spans="1:7" x14ac:dyDescent="0.15">
      <c r="A789" s="86">
        <v>45127</v>
      </c>
      <c r="B789" s="18">
        <v>200500</v>
      </c>
      <c r="C789" s="14">
        <v>202000</v>
      </c>
      <c r="D789" s="14">
        <v>204000</v>
      </c>
      <c r="E789" s="14">
        <v>200000</v>
      </c>
      <c r="F789" t="s">
        <v>726</v>
      </c>
      <c r="G789" s="15">
        <v>-7.4000000000000003E-3</v>
      </c>
    </row>
    <row r="790" spans="1:7" x14ac:dyDescent="0.15">
      <c r="A790" s="86">
        <v>45126</v>
      </c>
      <c r="B790" s="18">
        <v>202000</v>
      </c>
      <c r="C790" s="14">
        <v>201500</v>
      </c>
      <c r="D790" s="14">
        <v>203500</v>
      </c>
      <c r="E790" s="14">
        <v>200000</v>
      </c>
      <c r="F790" t="s">
        <v>727</v>
      </c>
      <c r="G790" s="15">
        <v>2.5000000000000001E-3</v>
      </c>
    </row>
    <row r="791" spans="1:7" x14ac:dyDescent="0.15">
      <c r="A791" s="86">
        <v>45125</v>
      </c>
      <c r="B791" s="18">
        <v>201500</v>
      </c>
      <c r="C791" s="14">
        <v>204000</v>
      </c>
      <c r="D791" s="14">
        <v>205000</v>
      </c>
      <c r="E791" s="14">
        <v>201000</v>
      </c>
      <c r="F791" t="s">
        <v>728</v>
      </c>
      <c r="G791" s="15">
        <v>-9.7999999999999997E-3</v>
      </c>
    </row>
    <row r="792" spans="1:7" x14ac:dyDescent="0.15">
      <c r="A792" s="86">
        <v>45124</v>
      </c>
      <c r="B792" s="18">
        <v>203500</v>
      </c>
      <c r="C792" s="14">
        <v>207000</v>
      </c>
      <c r="D792" s="14">
        <v>208500</v>
      </c>
      <c r="E792" s="14">
        <v>203500</v>
      </c>
      <c r="F792" t="s">
        <v>729</v>
      </c>
      <c r="G792" s="15">
        <v>-2.4E-2</v>
      </c>
    </row>
    <row r="793" spans="1:7" x14ac:dyDescent="0.15">
      <c r="A793" s="86">
        <v>45123</v>
      </c>
      <c r="B793" s="18">
        <v>208500</v>
      </c>
      <c r="C793" s="14">
        <v>208500</v>
      </c>
      <c r="D793" s="14">
        <v>208500</v>
      </c>
      <c r="E793" s="14">
        <v>208500</v>
      </c>
      <c r="G793" s="15">
        <v>0</v>
      </c>
    </row>
    <row r="794" spans="1:7" x14ac:dyDescent="0.15">
      <c r="A794" s="86">
        <v>45121</v>
      </c>
      <c r="B794" s="18">
        <v>208500</v>
      </c>
      <c r="C794" s="14">
        <v>204500</v>
      </c>
      <c r="D794" s="14">
        <v>209000</v>
      </c>
      <c r="E794" s="14">
        <v>204500</v>
      </c>
      <c r="F794" t="s">
        <v>730</v>
      </c>
      <c r="G794" s="15">
        <v>2.46E-2</v>
      </c>
    </row>
    <row r="795" spans="1:7" x14ac:dyDescent="0.15">
      <c r="A795" s="86">
        <v>45120</v>
      </c>
      <c r="B795" s="18">
        <v>203500</v>
      </c>
      <c r="C795" s="14">
        <v>205000</v>
      </c>
      <c r="D795" s="14">
        <v>205000</v>
      </c>
      <c r="E795" s="14">
        <v>203000</v>
      </c>
      <c r="F795" t="s">
        <v>731</v>
      </c>
      <c r="G795" s="15">
        <v>0</v>
      </c>
    </row>
    <row r="796" spans="1:7" x14ac:dyDescent="0.15">
      <c r="A796" s="86">
        <v>45119</v>
      </c>
      <c r="B796" s="18">
        <v>203500</v>
      </c>
      <c r="C796" s="14">
        <v>206000</v>
      </c>
      <c r="D796" s="14">
        <v>206500</v>
      </c>
      <c r="E796" s="14">
        <v>202500</v>
      </c>
      <c r="F796" t="s">
        <v>732</v>
      </c>
      <c r="G796" s="15">
        <v>-1.6899999999999998E-2</v>
      </c>
    </row>
    <row r="797" spans="1:7" x14ac:dyDescent="0.15">
      <c r="A797" s="86">
        <v>45118</v>
      </c>
      <c r="B797" s="18">
        <v>207000</v>
      </c>
      <c r="C797" s="14">
        <v>206500</v>
      </c>
      <c r="D797" s="14">
        <v>208000</v>
      </c>
      <c r="E797" s="14">
        <v>205000</v>
      </c>
      <c r="F797" t="s">
        <v>733</v>
      </c>
      <c r="G797" s="15">
        <v>7.3000000000000001E-3</v>
      </c>
    </row>
    <row r="798" spans="1:7" x14ac:dyDescent="0.15">
      <c r="A798" s="86">
        <v>45117</v>
      </c>
      <c r="B798" s="18">
        <v>205500</v>
      </c>
      <c r="C798" s="14">
        <v>205000</v>
      </c>
      <c r="D798" s="14">
        <v>208000</v>
      </c>
      <c r="E798" s="14">
        <v>202000</v>
      </c>
      <c r="F798" t="s">
        <v>734</v>
      </c>
      <c r="G798" s="15">
        <v>7.4000000000000003E-3</v>
      </c>
    </row>
    <row r="799" spans="1:7" x14ac:dyDescent="0.15">
      <c r="A799" s="86">
        <v>45116</v>
      </c>
      <c r="B799" s="18">
        <v>204000</v>
      </c>
      <c r="C799" s="14">
        <v>204000</v>
      </c>
      <c r="D799" s="14">
        <v>204000</v>
      </c>
      <c r="E799" s="14">
        <v>204000</v>
      </c>
      <c r="G799" s="15">
        <v>0</v>
      </c>
    </row>
    <row r="800" spans="1:7" x14ac:dyDescent="0.15">
      <c r="A800" s="86">
        <v>45114</v>
      </c>
      <c r="B800" s="18">
        <v>204000</v>
      </c>
      <c r="C800" s="14">
        <v>205500</v>
      </c>
      <c r="D800" s="14">
        <v>206000</v>
      </c>
      <c r="E800" s="14">
        <v>202500</v>
      </c>
      <c r="F800" t="s">
        <v>735</v>
      </c>
      <c r="G800" s="15">
        <v>-1.21E-2</v>
      </c>
    </row>
    <row r="801" spans="1:7" x14ac:dyDescent="0.15">
      <c r="A801" s="86">
        <v>45113</v>
      </c>
      <c r="B801" s="18">
        <v>206500</v>
      </c>
      <c r="C801" s="14">
        <v>204000</v>
      </c>
      <c r="D801" s="14">
        <v>208500</v>
      </c>
      <c r="E801" s="14">
        <v>204000</v>
      </c>
      <c r="F801" t="s">
        <v>736</v>
      </c>
      <c r="G801" s="15">
        <v>4.8999999999999998E-3</v>
      </c>
    </row>
    <row r="802" spans="1:7" x14ac:dyDescent="0.15">
      <c r="A802" s="86">
        <v>45112</v>
      </c>
      <c r="B802" s="18">
        <v>205500</v>
      </c>
      <c r="C802" s="14">
        <v>208000</v>
      </c>
      <c r="D802" s="14">
        <v>209500</v>
      </c>
      <c r="E802" s="14">
        <v>204500</v>
      </c>
      <c r="F802" t="s">
        <v>737</v>
      </c>
      <c r="G802" s="15">
        <v>-1.2E-2</v>
      </c>
    </row>
    <row r="803" spans="1:7" x14ac:dyDescent="0.15">
      <c r="A803" s="86">
        <v>45111</v>
      </c>
      <c r="B803" s="18">
        <v>208000</v>
      </c>
      <c r="C803" s="14">
        <v>208500</v>
      </c>
      <c r="D803" s="14">
        <v>210000</v>
      </c>
      <c r="E803" s="14">
        <v>206500</v>
      </c>
      <c r="F803" t="s">
        <v>738</v>
      </c>
      <c r="G803" s="15">
        <v>-2.3999999999999998E-3</v>
      </c>
    </row>
    <row r="804" spans="1:7" x14ac:dyDescent="0.15">
      <c r="A804" s="86">
        <v>45110</v>
      </c>
      <c r="B804" s="18">
        <v>208500</v>
      </c>
      <c r="C804" s="14">
        <v>207500</v>
      </c>
      <c r="D804" s="14">
        <v>208500</v>
      </c>
      <c r="E804" s="14">
        <v>205500</v>
      </c>
      <c r="F804" t="s">
        <v>739</v>
      </c>
      <c r="G804" s="15">
        <v>9.7000000000000003E-3</v>
      </c>
    </row>
    <row r="805" spans="1:7" x14ac:dyDescent="0.15">
      <c r="A805" s="86">
        <v>45109</v>
      </c>
      <c r="B805" s="18">
        <v>206500</v>
      </c>
      <c r="C805" s="14">
        <v>206500</v>
      </c>
      <c r="D805" s="14">
        <v>206500</v>
      </c>
      <c r="E805" s="14">
        <v>206500</v>
      </c>
      <c r="G805" s="15">
        <v>0</v>
      </c>
    </row>
    <row r="806" spans="1:7" x14ac:dyDescent="0.15">
      <c r="A806" s="86">
        <v>45107</v>
      </c>
      <c r="B806" s="18">
        <v>206500</v>
      </c>
      <c r="C806" s="14">
        <v>204500</v>
      </c>
      <c r="D806" s="14">
        <v>209000</v>
      </c>
      <c r="E806" s="14">
        <v>204500</v>
      </c>
      <c r="F806" t="s">
        <v>740</v>
      </c>
      <c r="G806" s="15">
        <v>9.7999999999999997E-3</v>
      </c>
    </row>
    <row r="807" spans="1:7" x14ac:dyDescent="0.15">
      <c r="A807" s="86">
        <v>45106</v>
      </c>
      <c r="B807" s="18">
        <v>204500</v>
      </c>
      <c r="C807" s="14">
        <v>205500</v>
      </c>
      <c r="D807" s="14">
        <v>206000</v>
      </c>
      <c r="E807" s="14">
        <v>204000</v>
      </c>
      <c r="F807" t="s">
        <v>741</v>
      </c>
      <c r="G807" s="15">
        <v>-7.3000000000000001E-3</v>
      </c>
    </row>
    <row r="808" spans="1:7" x14ac:dyDescent="0.15">
      <c r="A808" s="86">
        <v>45105</v>
      </c>
      <c r="B808" s="18">
        <v>206000</v>
      </c>
      <c r="C808" s="14">
        <v>206000</v>
      </c>
      <c r="D808" s="14">
        <v>206500</v>
      </c>
      <c r="E808" s="14">
        <v>203000</v>
      </c>
      <c r="F808" t="s">
        <v>742</v>
      </c>
      <c r="G808" s="15">
        <v>0</v>
      </c>
    </row>
    <row r="809" spans="1:7" x14ac:dyDescent="0.15">
      <c r="A809" s="86">
        <v>45104</v>
      </c>
      <c r="B809" s="18">
        <v>206000</v>
      </c>
      <c r="C809" s="14">
        <v>201000</v>
      </c>
      <c r="D809" s="14">
        <v>206000</v>
      </c>
      <c r="E809" s="14">
        <v>201000</v>
      </c>
      <c r="F809" t="s">
        <v>743</v>
      </c>
      <c r="G809" s="15">
        <v>2.7400000000000001E-2</v>
      </c>
    </row>
    <row r="810" spans="1:7" x14ac:dyDescent="0.15">
      <c r="A810" s="86">
        <v>45103</v>
      </c>
      <c r="B810" s="18">
        <v>200500</v>
      </c>
      <c r="C810" s="14">
        <v>199900</v>
      </c>
      <c r="D810" s="14">
        <v>202500</v>
      </c>
      <c r="E810" s="14">
        <v>199900</v>
      </c>
      <c r="F810" t="s">
        <v>744</v>
      </c>
      <c r="G810" s="15">
        <v>3.0000000000000001E-3</v>
      </c>
    </row>
    <row r="811" spans="1:7" x14ac:dyDescent="0.15">
      <c r="A811" s="86">
        <v>45102</v>
      </c>
      <c r="B811" s="18">
        <v>199900</v>
      </c>
      <c r="C811" s="14">
        <v>199900</v>
      </c>
      <c r="D811" s="14">
        <v>199900</v>
      </c>
      <c r="E811" s="14">
        <v>199900</v>
      </c>
      <c r="G811" s="15">
        <v>0</v>
      </c>
    </row>
    <row r="812" spans="1:7" x14ac:dyDescent="0.15">
      <c r="A812" s="86">
        <v>45100</v>
      </c>
      <c r="B812" s="18">
        <v>199900</v>
      </c>
      <c r="C812" s="14">
        <v>201000</v>
      </c>
      <c r="D812" s="14">
        <v>202000</v>
      </c>
      <c r="E812" s="14">
        <v>199000</v>
      </c>
      <c r="F812" t="s">
        <v>745</v>
      </c>
      <c r="G812" s="15">
        <v>-1.04E-2</v>
      </c>
    </row>
    <row r="813" spans="1:7" x14ac:dyDescent="0.15">
      <c r="A813" s="86">
        <v>45099</v>
      </c>
      <c r="B813" s="18">
        <v>202000</v>
      </c>
      <c r="C813" s="14">
        <v>202500</v>
      </c>
      <c r="D813" s="14">
        <v>203500</v>
      </c>
      <c r="E813" s="14">
        <v>200500</v>
      </c>
      <c r="F813" t="s">
        <v>746</v>
      </c>
      <c r="G813" s="15">
        <v>-9.7999999999999997E-3</v>
      </c>
    </row>
    <row r="814" spans="1:7" x14ac:dyDescent="0.15">
      <c r="A814" s="86">
        <v>45098</v>
      </c>
      <c r="B814" s="18">
        <v>204000</v>
      </c>
      <c r="C814" s="14">
        <v>197900</v>
      </c>
      <c r="D814" s="14">
        <v>205000</v>
      </c>
      <c r="E814" s="14">
        <v>196300</v>
      </c>
      <c r="F814" t="s">
        <v>502</v>
      </c>
      <c r="G814" s="15">
        <v>3.0800000000000001E-2</v>
      </c>
    </row>
    <row r="815" spans="1:7" x14ac:dyDescent="0.15">
      <c r="A815" s="86">
        <v>45097</v>
      </c>
      <c r="B815" s="18">
        <v>197900</v>
      </c>
      <c r="C815" s="14">
        <v>198300</v>
      </c>
      <c r="D815" s="14">
        <v>199000</v>
      </c>
      <c r="E815" s="14">
        <v>197000</v>
      </c>
      <c r="F815" t="s">
        <v>747</v>
      </c>
      <c r="G815" s="15">
        <v>-7.0000000000000001E-3</v>
      </c>
    </row>
    <row r="816" spans="1:7" x14ac:dyDescent="0.15">
      <c r="A816" s="86">
        <v>45096</v>
      </c>
      <c r="B816" s="18">
        <v>199300</v>
      </c>
      <c r="C816" s="14">
        <v>198000</v>
      </c>
      <c r="D816" s="14">
        <v>199400</v>
      </c>
      <c r="E816" s="14">
        <v>197000</v>
      </c>
      <c r="F816" t="s">
        <v>748</v>
      </c>
      <c r="G816" s="15">
        <v>-5.0000000000000001E-4</v>
      </c>
    </row>
    <row r="817" spans="1:7" x14ac:dyDescent="0.15">
      <c r="A817" s="86">
        <v>45095</v>
      </c>
      <c r="B817" s="18">
        <v>199400</v>
      </c>
      <c r="C817" s="14">
        <v>199400</v>
      </c>
      <c r="D817" s="14">
        <v>199400</v>
      </c>
      <c r="E817" s="14">
        <v>199400</v>
      </c>
      <c r="G817" s="15">
        <v>0</v>
      </c>
    </row>
    <row r="818" spans="1:7" x14ac:dyDescent="0.15">
      <c r="A818" s="86">
        <v>45093</v>
      </c>
      <c r="B818" s="18">
        <v>199400</v>
      </c>
      <c r="C818" s="14">
        <v>201000</v>
      </c>
      <c r="D818" s="14">
        <v>201500</v>
      </c>
      <c r="E818" s="14">
        <v>198000</v>
      </c>
      <c r="F818" t="s">
        <v>749</v>
      </c>
      <c r="G818" s="15">
        <v>-1.5E-3</v>
      </c>
    </row>
    <row r="819" spans="1:7" x14ac:dyDescent="0.15">
      <c r="A819" s="86">
        <v>45092</v>
      </c>
      <c r="B819" s="18">
        <v>199700</v>
      </c>
      <c r="C819" s="14">
        <v>201500</v>
      </c>
      <c r="D819" s="14">
        <v>202000</v>
      </c>
      <c r="E819" s="14">
        <v>199400</v>
      </c>
      <c r="F819" t="s">
        <v>750</v>
      </c>
      <c r="G819" s="15">
        <v>-6.4999999999999997E-3</v>
      </c>
    </row>
    <row r="820" spans="1:7" x14ac:dyDescent="0.15">
      <c r="A820" s="86">
        <v>45091</v>
      </c>
      <c r="B820" s="18">
        <v>201000</v>
      </c>
      <c r="C820" s="14">
        <v>198800</v>
      </c>
      <c r="D820" s="14">
        <v>201500</v>
      </c>
      <c r="E820" s="14">
        <v>198500</v>
      </c>
      <c r="F820" t="s">
        <v>751</v>
      </c>
      <c r="G820" s="15">
        <v>1.52E-2</v>
      </c>
    </row>
    <row r="821" spans="1:7" x14ac:dyDescent="0.15">
      <c r="A821" s="86">
        <v>45090</v>
      </c>
      <c r="B821" s="18">
        <v>198000</v>
      </c>
      <c r="C821" s="14">
        <v>196700</v>
      </c>
      <c r="D821" s="14">
        <v>198200</v>
      </c>
      <c r="E821" s="14">
        <v>196200</v>
      </c>
      <c r="F821" t="s">
        <v>752</v>
      </c>
      <c r="G821" s="15">
        <v>9.1999999999999998E-3</v>
      </c>
    </row>
    <row r="822" spans="1:7" x14ac:dyDescent="0.15">
      <c r="A822" s="86">
        <v>45089</v>
      </c>
      <c r="B822" s="18">
        <v>196200</v>
      </c>
      <c r="C822" s="14">
        <v>197500</v>
      </c>
      <c r="D822" s="14">
        <v>198500</v>
      </c>
      <c r="E822" s="14">
        <v>195100</v>
      </c>
      <c r="F822" t="s">
        <v>753</v>
      </c>
      <c r="G822" s="15">
        <v>-4.5999999999999999E-3</v>
      </c>
    </row>
    <row r="823" spans="1:7" x14ac:dyDescent="0.15">
      <c r="A823" s="86">
        <v>45088</v>
      </c>
      <c r="B823" s="18">
        <v>197100</v>
      </c>
      <c r="C823" s="14">
        <v>197100</v>
      </c>
      <c r="D823" s="14">
        <v>197100</v>
      </c>
      <c r="E823" s="14">
        <v>197100</v>
      </c>
      <c r="G823" s="15">
        <v>0</v>
      </c>
    </row>
    <row r="824" spans="1:7" x14ac:dyDescent="0.15">
      <c r="A824" s="86">
        <v>45086</v>
      </c>
      <c r="B824" s="18">
        <v>197100</v>
      </c>
      <c r="C824" s="14">
        <v>197400</v>
      </c>
      <c r="D824" s="14">
        <v>198300</v>
      </c>
      <c r="E824" s="14">
        <v>196300</v>
      </c>
      <c r="F824" t="s">
        <v>754</v>
      </c>
      <c r="G824" s="15">
        <v>2E-3</v>
      </c>
    </row>
    <row r="825" spans="1:7" x14ac:dyDescent="0.15">
      <c r="A825" s="86">
        <v>45085</v>
      </c>
      <c r="B825" s="18">
        <v>196700</v>
      </c>
      <c r="C825" s="14">
        <v>195500</v>
      </c>
      <c r="D825" s="14">
        <v>197200</v>
      </c>
      <c r="E825" s="14">
        <v>194000</v>
      </c>
      <c r="F825" t="s">
        <v>755</v>
      </c>
      <c r="G825" s="15">
        <v>1.5E-3</v>
      </c>
    </row>
    <row r="826" spans="1:7" x14ac:dyDescent="0.15">
      <c r="A826" s="86">
        <v>45084</v>
      </c>
      <c r="B826" s="18">
        <v>196400</v>
      </c>
      <c r="C826" s="14">
        <v>202500</v>
      </c>
      <c r="D826" s="14">
        <v>203000</v>
      </c>
      <c r="E826" s="14">
        <v>195400</v>
      </c>
      <c r="F826" t="s">
        <v>756</v>
      </c>
      <c r="G826" s="15">
        <v>-2.29E-2</v>
      </c>
    </row>
    <row r="827" spans="1:7" x14ac:dyDescent="0.15">
      <c r="A827" s="86">
        <v>45083</v>
      </c>
      <c r="B827" s="18">
        <v>201000</v>
      </c>
      <c r="C827" s="14">
        <v>201000</v>
      </c>
      <c r="D827" s="14">
        <v>201000</v>
      </c>
      <c r="E827" s="14">
        <v>201000</v>
      </c>
      <c r="G827" s="15">
        <v>0</v>
      </c>
    </row>
    <row r="828" spans="1:7" x14ac:dyDescent="0.15">
      <c r="A828" s="86">
        <v>45082</v>
      </c>
      <c r="B828" s="18">
        <v>201000</v>
      </c>
      <c r="C828" s="14">
        <v>201500</v>
      </c>
      <c r="D828" s="14">
        <v>203500</v>
      </c>
      <c r="E828" s="14">
        <v>200000</v>
      </c>
      <c r="F828" t="s">
        <v>757</v>
      </c>
      <c r="G828" s="15">
        <v>7.4999999999999997E-3</v>
      </c>
    </row>
    <row r="829" spans="1:7" x14ac:dyDescent="0.15">
      <c r="A829" s="86">
        <v>45079</v>
      </c>
      <c r="B829" s="18">
        <v>199500</v>
      </c>
      <c r="C829" s="14">
        <v>198500</v>
      </c>
      <c r="D829" s="14">
        <v>199800</v>
      </c>
      <c r="E829" s="14">
        <v>198100</v>
      </c>
      <c r="F829" t="s">
        <v>758</v>
      </c>
      <c r="G829" s="15">
        <v>1.01E-2</v>
      </c>
    </row>
    <row r="830" spans="1:7" x14ac:dyDescent="0.15">
      <c r="A830" s="86">
        <v>45078</v>
      </c>
      <c r="B830" s="18">
        <v>197500</v>
      </c>
      <c r="C830" s="14">
        <v>199800</v>
      </c>
      <c r="D830" s="14">
        <v>199800</v>
      </c>
      <c r="E830" s="14">
        <v>196300</v>
      </c>
      <c r="F830" t="s">
        <v>759</v>
      </c>
      <c r="G830" s="15">
        <v>-1.2500000000000001E-2</v>
      </c>
    </row>
    <row r="831" spans="1:7" x14ac:dyDescent="0.15">
      <c r="A831" s="86">
        <v>45077</v>
      </c>
      <c r="B831" s="18">
        <v>200000</v>
      </c>
      <c r="C831" s="14">
        <v>200500</v>
      </c>
      <c r="D831" s="14">
        <v>203000</v>
      </c>
      <c r="E831" s="14">
        <v>200000</v>
      </c>
      <c r="F831" t="s">
        <v>760</v>
      </c>
      <c r="G831" s="15">
        <v>-2.5000000000000001E-3</v>
      </c>
    </row>
    <row r="832" spans="1:7" x14ac:dyDescent="0.15">
      <c r="A832" s="86">
        <v>45076</v>
      </c>
      <c r="B832" s="18">
        <v>200500</v>
      </c>
      <c r="C832" s="14">
        <v>207000</v>
      </c>
      <c r="D832" s="14">
        <v>207000</v>
      </c>
      <c r="E832" s="14">
        <v>200000</v>
      </c>
      <c r="F832" t="s">
        <v>761</v>
      </c>
      <c r="G832" s="15">
        <v>-2.4299999999999999E-2</v>
      </c>
    </row>
    <row r="833" spans="1:7" x14ac:dyDescent="0.15">
      <c r="A833" s="86">
        <v>45075</v>
      </c>
      <c r="B833" s="18">
        <v>205500</v>
      </c>
      <c r="C833" s="14">
        <v>205500</v>
      </c>
      <c r="D833" s="14">
        <v>205500</v>
      </c>
      <c r="E833" s="14">
        <v>205500</v>
      </c>
      <c r="G833" s="15">
        <v>0</v>
      </c>
    </row>
    <row r="834" spans="1:7" x14ac:dyDescent="0.15">
      <c r="A834" s="86">
        <v>45072</v>
      </c>
      <c r="B834" s="18">
        <v>205500</v>
      </c>
      <c r="C834" s="14">
        <v>204500</v>
      </c>
      <c r="D834" s="14">
        <v>205500</v>
      </c>
      <c r="E834" s="14">
        <v>201000</v>
      </c>
      <c r="F834" t="s">
        <v>762</v>
      </c>
      <c r="G834" s="15">
        <v>9.7999999999999997E-3</v>
      </c>
    </row>
    <row r="835" spans="1:7" x14ac:dyDescent="0.15">
      <c r="A835" s="86">
        <v>45071</v>
      </c>
      <c r="B835" s="18">
        <v>203500</v>
      </c>
      <c r="C835" s="14">
        <v>206000</v>
      </c>
      <c r="D835" s="14">
        <v>206500</v>
      </c>
      <c r="E835" s="14">
        <v>203000</v>
      </c>
      <c r="F835" t="s">
        <v>763</v>
      </c>
      <c r="G835" s="15">
        <v>-1.9300000000000001E-2</v>
      </c>
    </row>
    <row r="836" spans="1:7" x14ac:dyDescent="0.15">
      <c r="A836" s="86">
        <v>45070</v>
      </c>
      <c r="B836" s="18">
        <v>207500</v>
      </c>
      <c r="C836" s="14">
        <v>206000</v>
      </c>
      <c r="D836" s="14">
        <v>208000</v>
      </c>
      <c r="E836" s="14">
        <v>205500</v>
      </c>
      <c r="F836" t="s">
        <v>764</v>
      </c>
      <c r="G836" s="15">
        <v>0</v>
      </c>
    </row>
    <row r="837" spans="1:7" x14ac:dyDescent="0.15">
      <c r="A837" s="86">
        <v>45069</v>
      </c>
      <c r="B837" s="18">
        <v>207500</v>
      </c>
      <c r="C837" s="14">
        <v>209000</v>
      </c>
      <c r="D837" s="14">
        <v>209000</v>
      </c>
      <c r="E837" s="14">
        <v>207000</v>
      </c>
      <c r="F837" t="s">
        <v>765</v>
      </c>
      <c r="G837" s="15">
        <v>0</v>
      </c>
    </row>
    <row r="838" spans="1:7" x14ac:dyDescent="0.15">
      <c r="A838" s="86">
        <v>45068</v>
      </c>
      <c r="B838" s="18">
        <v>207500</v>
      </c>
      <c r="C838" s="14">
        <v>206000</v>
      </c>
      <c r="D838" s="14">
        <v>208500</v>
      </c>
      <c r="E838" s="14">
        <v>204500</v>
      </c>
      <c r="F838" t="s">
        <v>766</v>
      </c>
      <c r="G838" s="15">
        <v>9.7000000000000003E-3</v>
      </c>
    </row>
    <row r="839" spans="1:7" x14ac:dyDescent="0.15">
      <c r="A839" s="86">
        <v>45067</v>
      </c>
      <c r="B839" s="18">
        <v>205500</v>
      </c>
      <c r="C839" s="14">
        <v>205500</v>
      </c>
      <c r="D839" s="14">
        <v>205500</v>
      </c>
      <c r="E839" s="14">
        <v>205500</v>
      </c>
      <c r="G839" s="15">
        <v>0</v>
      </c>
    </row>
    <row r="840" spans="1:7" x14ac:dyDescent="0.15">
      <c r="A840" s="86">
        <v>45065</v>
      </c>
      <c r="B840" s="18">
        <v>205500</v>
      </c>
      <c r="C840" s="14">
        <v>206000</v>
      </c>
      <c r="D840" s="14">
        <v>207500</v>
      </c>
      <c r="E840" s="14">
        <v>204000</v>
      </c>
      <c r="F840" t="s">
        <v>767</v>
      </c>
      <c r="G840" s="15">
        <v>-4.7999999999999996E-3</v>
      </c>
    </row>
    <row r="841" spans="1:7" x14ac:dyDescent="0.15">
      <c r="A841" s="86">
        <v>45064</v>
      </c>
      <c r="B841" s="18">
        <v>206500</v>
      </c>
      <c r="C841" s="14">
        <v>207000</v>
      </c>
      <c r="D841" s="14">
        <v>207000</v>
      </c>
      <c r="E841" s="14">
        <v>205000</v>
      </c>
      <c r="F841" t="s">
        <v>768</v>
      </c>
      <c r="G841" s="15">
        <v>9.7999999999999997E-3</v>
      </c>
    </row>
    <row r="842" spans="1:7" x14ac:dyDescent="0.15">
      <c r="A842" s="86">
        <v>45063</v>
      </c>
      <c r="B842" s="18">
        <v>204500</v>
      </c>
      <c r="C842" s="14">
        <v>202500</v>
      </c>
      <c r="D842" s="14">
        <v>205500</v>
      </c>
      <c r="E842" s="14">
        <v>202500</v>
      </c>
      <c r="F842" t="s">
        <v>769</v>
      </c>
      <c r="G842" s="15">
        <v>9.9000000000000008E-3</v>
      </c>
    </row>
    <row r="843" spans="1:7" x14ac:dyDescent="0.15">
      <c r="A843" s="86">
        <v>45062</v>
      </c>
      <c r="B843" s="18">
        <v>202500</v>
      </c>
      <c r="C843" s="14">
        <v>206500</v>
      </c>
      <c r="D843" s="14">
        <v>207500</v>
      </c>
      <c r="E843" s="14">
        <v>201000</v>
      </c>
      <c r="F843" t="s">
        <v>770</v>
      </c>
      <c r="G843" s="15">
        <v>-2.64E-2</v>
      </c>
    </row>
    <row r="844" spans="1:7" x14ac:dyDescent="0.15">
      <c r="A844" s="86">
        <v>45061</v>
      </c>
      <c r="B844" s="18">
        <v>208000</v>
      </c>
      <c r="C844" s="14">
        <v>207000</v>
      </c>
      <c r="D844" s="14">
        <v>209000</v>
      </c>
      <c r="E844" s="14">
        <v>204000</v>
      </c>
      <c r="F844" t="s">
        <v>771</v>
      </c>
      <c r="G844" s="15">
        <v>-2.3999999999999998E-3</v>
      </c>
    </row>
    <row r="845" spans="1:7" x14ac:dyDescent="0.15">
      <c r="A845" s="86">
        <v>45060</v>
      </c>
      <c r="B845" s="18">
        <v>208500</v>
      </c>
      <c r="C845" s="14">
        <v>208500</v>
      </c>
      <c r="D845" s="14">
        <v>208500</v>
      </c>
      <c r="E845" s="14">
        <v>208500</v>
      </c>
      <c r="G845" s="15">
        <v>0</v>
      </c>
    </row>
    <row r="846" spans="1:7" x14ac:dyDescent="0.15">
      <c r="A846" s="86">
        <v>45058</v>
      </c>
      <c r="B846" s="18">
        <v>208500</v>
      </c>
      <c r="C846" s="14">
        <v>207000</v>
      </c>
      <c r="D846" s="14">
        <v>209500</v>
      </c>
      <c r="E846" s="14">
        <v>205500</v>
      </c>
      <c r="F846" t="s">
        <v>772</v>
      </c>
      <c r="G846" s="15">
        <v>2.3999999999999998E-3</v>
      </c>
    </row>
    <row r="847" spans="1:7" x14ac:dyDescent="0.15">
      <c r="A847" s="86">
        <v>45057</v>
      </c>
      <c r="B847" s="18">
        <v>208000</v>
      </c>
      <c r="C847" s="14">
        <v>211500</v>
      </c>
      <c r="D847" s="14">
        <v>211500</v>
      </c>
      <c r="E847" s="14">
        <v>208000</v>
      </c>
      <c r="F847" t="s">
        <v>773</v>
      </c>
      <c r="G847" s="15">
        <v>-9.4999999999999998E-3</v>
      </c>
    </row>
    <row r="848" spans="1:7" x14ac:dyDescent="0.15">
      <c r="A848" s="86">
        <v>45056</v>
      </c>
      <c r="B848" s="18">
        <v>210000</v>
      </c>
      <c r="C848" s="14">
        <v>206000</v>
      </c>
      <c r="D848" s="14">
        <v>211000</v>
      </c>
      <c r="E848" s="14">
        <v>205000</v>
      </c>
      <c r="F848" t="s">
        <v>229</v>
      </c>
      <c r="G848" s="15">
        <v>2.4400000000000002E-2</v>
      </c>
    </row>
    <row r="849" spans="1:7" x14ac:dyDescent="0.15">
      <c r="A849" s="86">
        <v>45055</v>
      </c>
      <c r="B849" s="18">
        <v>205000</v>
      </c>
      <c r="C849" s="14">
        <v>202000</v>
      </c>
      <c r="D849" s="14">
        <v>205500</v>
      </c>
      <c r="E849" s="14">
        <v>199900</v>
      </c>
      <c r="F849" t="s">
        <v>774</v>
      </c>
      <c r="G849" s="15">
        <v>1.23E-2</v>
      </c>
    </row>
    <row r="850" spans="1:7" x14ac:dyDescent="0.15">
      <c r="A850" s="86">
        <v>45054</v>
      </c>
      <c r="B850" s="18">
        <v>202500</v>
      </c>
      <c r="C850" s="14">
        <v>201000</v>
      </c>
      <c r="D850" s="14">
        <v>203000</v>
      </c>
      <c r="E850" s="14">
        <v>200000</v>
      </c>
      <c r="F850" t="s">
        <v>775</v>
      </c>
      <c r="G850" s="15">
        <v>1.66E-2</v>
      </c>
    </row>
    <row r="851" spans="1:7" x14ac:dyDescent="0.15">
      <c r="A851" s="86">
        <v>45053</v>
      </c>
      <c r="B851" s="18">
        <v>199200</v>
      </c>
      <c r="C851" s="14">
        <v>199200</v>
      </c>
      <c r="D851" s="14">
        <v>199200</v>
      </c>
      <c r="E851" s="14">
        <v>199200</v>
      </c>
      <c r="G851" s="15">
        <v>0</v>
      </c>
    </row>
    <row r="852" spans="1:7" x14ac:dyDescent="0.15">
      <c r="A852" s="86">
        <v>45050</v>
      </c>
      <c r="B852" s="18">
        <v>199200</v>
      </c>
      <c r="C852" s="14">
        <v>200000</v>
      </c>
      <c r="D852" s="14">
        <v>201000</v>
      </c>
      <c r="E852" s="14">
        <v>197400</v>
      </c>
      <c r="F852" t="s">
        <v>776</v>
      </c>
      <c r="G852" s="15">
        <v>-8.9999999999999993E-3</v>
      </c>
    </row>
    <row r="853" spans="1:7" x14ac:dyDescent="0.15">
      <c r="A853" s="86">
        <v>45049</v>
      </c>
      <c r="B853" s="18">
        <v>201000</v>
      </c>
      <c r="C853" s="14">
        <v>200500</v>
      </c>
      <c r="D853" s="14">
        <v>202000</v>
      </c>
      <c r="E853" s="14">
        <v>198500</v>
      </c>
      <c r="F853" t="s">
        <v>777</v>
      </c>
      <c r="G853" s="15">
        <v>-2.5000000000000001E-3</v>
      </c>
    </row>
    <row r="854" spans="1:7" x14ac:dyDescent="0.15">
      <c r="A854" s="86">
        <v>45048</v>
      </c>
      <c r="B854" s="18">
        <v>201500</v>
      </c>
      <c r="C854" s="14">
        <v>198500</v>
      </c>
      <c r="D854" s="14">
        <v>202000</v>
      </c>
      <c r="E854" s="14">
        <v>197700</v>
      </c>
      <c r="F854" t="s">
        <v>778</v>
      </c>
      <c r="G854" s="15">
        <v>2.0299999999999999E-2</v>
      </c>
    </row>
    <row r="855" spans="1:7" x14ac:dyDescent="0.15">
      <c r="A855" s="86">
        <v>45047</v>
      </c>
      <c r="B855" s="18">
        <v>197500</v>
      </c>
      <c r="C855" s="14">
        <v>197500</v>
      </c>
      <c r="D855" s="14">
        <v>197500</v>
      </c>
      <c r="E855" s="14">
        <v>197500</v>
      </c>
      <c r="G855" s="15">
        <v>0</v>
      </c>
    </row>
    <row r="856" spans="1:7" x14ac:dyDescent="0.15">
      <c r="A856" s="86">
        <v>45044</v>
      </c>
      <c r="B856" s="18">
        <v>197500</v>
      </c>
      <c r="C856" s="14">
        <v>203000</v>
      </c>
      <c r="D856" s="14">
        <v>203500</v>
      </c>
      <c r="E856" s="14">
        <v>196200</v>
      </c>
      <c r="F856" t="s">
        <v>123</v>
      </c>
      <c r="G856" s="15">
        <v>-2.23E-2</v>
      </c>
    </row>
    <row r="857" spans="1:7" x14ac:dyDescent="0.15">
      <c r="A857" s="86">
        <v>45043</v>
      </c>
      <c r="B857" s="18">
        <v>202000</v>
      </c>
      <c r="C857" s="14">
        <v>201500</v>
      </c>
      <c r="D857" s="14">
        <v>205000</v>
      </c>
      <c r="E857" s="14">
        <v>200500</v>
      </c>
      <c r="F857" t="s">
        <v>779</v>
      </c>
      <c r="G857" s="15">
        <v>2.5000000000000001E-3</v>
      </c>
    </row>
    <row r="858" spans="1:7" x14ac:dyDescent="0.15">
      <c r="A858" s="86">
        <v>45042</v>
      </c>
      <c r="B858" s="18">
        <v>201500</v>
      </c>
      <c r="C858" s="14">
        <v>205500</v>
      </c>
      <c r="D858" s="14">
        <v>207500</v>
      </c>
      <c r="E858" s="14">
        <v>199900</v>
      </c>
      <c r="F858" t="s">
        <v>780</v>
      </c>
      <c r="G858" s="15">
        <v>2.5000000000000001E-3</v>
      </c>
    </row>
    <row r="859" spans="1:7" x14ac:dyDescent="0.15">
      <c r="A859" s="86">
        <v>45041</v>
      </c>
      <c r="B859" s="18">
        <v>201000</v>
      </c>
      <c r="C859" s="14">
        <v>193000</v>
      </c>
      <c r="D859" s="14">
        <v>201500</v>
      </c>
      <c r="E859" s="14">
        <v>191200</v>
      </c>
      <c r="F859" t="s">
        <v>781</v>
      </c>
      <c r="G859" s="15">
        <v>4.7399999999999998E-2</v>
      </c>
    </row>
    <row r="860" spans="1:7" x14ac:dyDescent="0.15">
      <c r="A860" s="86">
        <v>45040</v>
      </c>
      <c r="B860" s="18">
        <v>191900</v>
      </c>
      <c r="C860" s="14">
        <v>190600</v>
      </c>
      <c r="D860" s="14">
        <v>193100</v>
      </c>
      <c r="E860" s="14">
        <v>190600</v>
      </c>
      <c r="F860" t="s">
        <v>782</v>
      </c>
      <c r="G860" s="15">
        <v>7.9000000000000008E-3</v>
      </c>
    </row>
    <row r="861" spans="1:7" x14ac:dyDescent="0.15">
      <c r="A861" s="86">
        <v>45039</v>
      </c>
      <c r="B861" s="18">
        <v>190400</v>
      </c>
      <c r="C861" s="14">
        <v>190400</v>
      </c>
      <c r="D861" s="14">
        <v>190400</v>
      </c>
      <c r="E861" s="14">
        <v>190400</v>
      </c>
      <c r="G861" s="15">
        <v>0</v>
      </c>
    </row>
    <row r="862" spans="1:7" x14ac:dyDescent="0.15">
      <c r="A862" s="86">
        <v>45037</v>
      </c>
      <c r="B862" s="18">
        <v>190400</v>
      </c>
      <c r="C862" s="14">
        <v>191100</v>
      </c>
      <c r="D862" s="14">
        <v>191800</v>
      </c>
      <c r="E862" s="14">
        <v>188300</v>
      </c>
      <c r="F862" t="s">
        <v>783</v>
      </c>
      <c r="G862" s="15">
        <v>-1.09E-2</v>
      </c>
    </row>
    <row r="863" spans="1:7" x14ac:dyDescent="0.15">
      <c r="A863" s="86">
        <v>45036</v>
      </c>
      <c r="B863" s="18">
        <v>192500</v>
      </c>
      <c r="C863" s="14">
        <v>193000</v>
      </c>
      <c r="D863" s="14">
        <v>194100</v>
      </c>
      <c r="E863" s="14">
        <v>191400</v>
      </c>
      <c r="F863" t="s">
        <v>784</v>
      </c>
      <c r="G863" s="15">
        <v>-5.7000000000000002E-3</v>
      </c>
    </row>
    <row r="864" spans="1:7" x14ac:dyDescent="0.15">
      <c r="A864" s="86">
        <v>45035</v>
      </c>
      <c r="B864" s="18">
        <v>193600</v>
      </c>
      <c r="C864" s="14">
        <v>191400</v>
      </c>
      <c r="D864" s="14">
        <v>194200</v>
      </c>
      <c r="E864" s="14">
        <v>190300</v>
      </c>
      <c r="F864" t="s">
        <v>785</v>
      </c>
      <c r="G864" s="15">
        <v>1.15E-2</v>
      </c>
    </row>
    <row r="865" spans="1:7" x14ac:dyDescent="0.15">
      <c r="A865" s="86">
        <v>45034</v>
      </c>
      <c r="B865" s="18">
        <v>191400</v>
      </c>
      <c r="C865" s="14">
        <v>192700</v>
      </c>
      <c r="D865" s="14">
        <v>193000</v>
      </c>
      <c r="E865" s="14">
        <v>188200</v>
      </c>
      <c r="F865" t="s">
        <v>786</v>
      </c>
      <c r="G865" s="15">
        <v>-1.8499999999999999E-2</v>
      </c>
    </row>
    <row r="866" spans="1:7" x14ac:dyDescent="0.15">
      <c r="A866" s="86">
        <v>45033</v>
      </c>
      <c r="B866" s="18">
        <v>195000</v>
      </c>
      <c r="C866" s="14">
        <v>195400</v>
      </c>
      <c r="D866" s="14">
        <v>196100</v>
      </c>
      <c r="E866" s="14">
        <v>193800</v>
      </c>
      <c r="F866" t="s">
        <v>787</v>
      </c>
      <c r="G866" s="15">
        <v>-5.5999999999999999E-3</v>
      </c>
    </row>
    <row r="867" spans="1:7" x14ac:dyDescent="0.15">
      <c r="A867" s="86">
        <v>45032</v>
      </c>
      <c r="B867" s="18">
        <v>196100</v>
      </c>
      <c r="C867" s="14">
        <v>196100</v>
      </c>
      <c r="D867" s="14">
        <v>196100</v>
      </c>
      <c r="E867" s="14">
        <v>196100</v>
      </c>
      <c r="G867" s="15">
        <v>0</v>
      </c>
    </row>
    <row r="868" spans="1:7" x14ac:dyDescent="0.15">
      <c r="A868" s="86">
        <v>45030</v>
      </c>
      <c r="B868" s="18">
        <v>196100</v>
      </c>
      <c r="C868" s="14">
        <v>199500</v>
      </c>
      <c r="D868" s="14">
        <v>199700</v>
      </c>
      <c r="E868" s="14">
        <v>196000</v>
      </c>
      <c r="F868" t="s">
        <v>788</v>
      </c>
      <c r="G868" s="15">
        <v>-1.41E-2</v>
      </c>
    </row>
    <row r="869" spans="1:7" x14ac:dyDescent="0.15">
      <c r="A869" s="86">
        <v>45029</v>
      </c>
      <c r="B869" s="18">
        <v>198900</v>
      </c>
      <c r="C869" s="14">
        <v>199000</v>
      </c>
      <c r="D869" s="14">
        <v>199900</v>
      </c>
      <c r="E869" s="14">
        <v>196200</v>
      </c>
      <c r="F869" t="s">
        <v>789</v>
      </c>
      <c r="G869" s="15">
        <v>3.5000000000000001E-3</v>
      </c>
    </row>
    <row r="870" spans="1:7" x14ac:dyDescent="0.15">
      <c r="A870" s="86">
        <v>45028</v>
      </c>
      <c r="B870" s="18">
        <v>198200</v>
      </c>
      <c r="C870" s="14">
        <v>195000</v>
      </c>
      <c r="D870" s="14">
        <v>199500</v>
      </c>
      <c r="E870" s="14">
        <v>194600</v>
      </c>
      <c r="F870" t="s">
        <v>790</v>
      </c>
      <c r="G870" s="15">
        <v>3.1800000000000002E-2</v>
      </c>
    </row>
    <row r="871" spans="1:7" x14ac:dyDescent="0.15">
      <c r="A871" s="86">
        <v>45027</v>
      </c>
      <c r="B871" s="18">
        <v>192100</v>
      </c>
      <c r="C871" s="14">
        <v>186600</v>
      </c>
      <c r="D871" s="14">
        <v>192400</v>
      </c>
      <c r="E871" s="14">
        <v>185100</v>
      </c>
      <c r="F871" t="s">
        <v>129</v>
      </c>
      <c r="G871" s="15">
        <v>3.3399999999999999E-2</v>
      </c>
    </row>
    <row r="872" spans="1:7" x14ac:dyDescent="0.15">
      <c r="A872" s="86">
        <v>45026</v>
      </c>
      <c r="B872" s="18">
        <v>185900</v>
      </c>
      <c r="C872" s="14">
        <v>186000</v>
      </c>
      <c r="D872" s="14">
        <v>188500</v>
      </c>
      <c r="E872" s="14">
        <v>184200</v>
      </c>
      <c r="F872" t="s">
        <v>791</v>
      </c>
      <c r="G872" s="15">
        <v>4.3E-3</v>
      </c>
    </row>
    <row r="873" spans="1:7" x14ac:dyDescent="0.15">
      <c r="A873" s="86">
        <v>45025</v>
      </c>
      <c r="B873" s="18">
        <v>185100</v>
      </c>
      <c r="C873" s="14">
        <v>185100</v>
      </c>
      <c r="D873" s="14">
        <v>185100</v>
      </c>
      <c r="E873" s="14">
        <v>185100</v>
      </c>
      <c r="G873" s="15">
        <v>0</v>
      </c>
    </row>
    <row r="874" spans="1:7" x14ac:dyDescent="0.15">
      <c r="A874" s="86">
        <v>45023</v>
      </c>
      <c r="B874" s="18">
        <v>185100</v>
      </c>
      <c r="C874" s="14">
        <v>185400</v>
      </c>
      <c r="D874" s="14">
        <v>186500</v>
      </c>
      <c r="E874" s="14">
        <v>184600</v>
      </c>
      <c r="F874" t="s">
        <v>792</v>
      </c>
      <c r="G874" s="15">
        <v>0</v>
      </c>
    </row>
    <row r="875" spans="1:7" x14ac:dyDescent="0.15">
      <c r="A875" s="86">
        <v>45022</v>
      </c>
      <c r="B875" s="18">
        <v>185100</v>
      </c>
      <c r="C875" s="14">
        <v>186900</v>
      </c>
      <c r="D875" s="14">
        <v>189400</v>
      </c>
      <c r="E875" s="14">
        <v>184700</v>
      </c>
      <c r="F875" t="s">
        <v>358</v>
      </c>
      <c r="G875" s="15">
        <v>-8.6E-3</v>
      </c>
    </row>
    <row r="876" spans="1:7" x14ac:dyDescent="0.15">
      <c r="A876" s="86">
        <v>45021</v>
      </c>
      <c r="B876" s="18">
        <v>186700</v>
      </c>
      <c r="C876" s="14">
        <v>185100</v>
      </c>
      <c r="D876" s="14">
        <v>187200</v>
      </c>
      <c r="E876" s="14">
        <v>184000</v>
      </c>
      <c r="F876" t="s">
        <v>793</v>
      </c>
      <c r="G876" s="15">
        <v>1.5800000000000002E-2</v>
      </c>
    </row>
    <row r="877" spans="1:7" x14ac:dyDescent="0.15">
      <c r="A877" s="86">
        <v>45020</v>
      </c>
      <c r="B877" s="18">
        <v>183800</v>
      </c>
      <c r="C877" s="14">
        <v>184000</v>
      </c>
      <c r="D877" s="14">
        <v>186500</v>
      </c>
      <c r="E877" s="14">
        <v>183300</v>
      </c>
      <c r="F877" t="s">
        <v>794</v>
      </c>
      <c r="G877" s="15">
        <v>1.1000000000000001E-3</v>
      </c>
    </row>
    <row r="878" spans="1:7" x14ac:dyDescent="0.15">
      <c r="A878" s="86">
        <v>45019</v>
      </c>
      <c r="B878" s="18">
        <v>183600</v>
      </c>
      <c r="C878" s="14">
        <v>184600</v>
      </c>
      <c r="D878" s="14">
        <v>185500</v>
      </c>
      <c r="E878" s="14">
        <v>182300</v>
      </c>
      <c r="F878" t="s">
        <v>795</v>
      </c>
      <c r="G878" s="15">
        <v>-4.8999999999999998E-3</v>
      </c>
    </row>
    <row r="879" spans="1:7" x14ac:dyDescent="0.15">
      <c r="A879" s="86">
        <v>45018</v>
      </c>
      <c r="B879" s="18">
        <v>184500</v>
      </c>
      <c r="C879" s="14">
        <v>184500</v>
      </c>
      <c r="D879" s="14">
        <v>184500</v>
      </c>
      <c r="E879" s="14">
        <v>184500</v>
      </c>
      <c r="G879" s="15">
        <v>0</v>
      </c>
    </row>
    <row r="880" spans="1:7" x14ac:dyDescent="0.15">
      <c r="A880" s="86">
        <v>45016</v>
      </c>
      <c r="B880" s="18">
        <v>184500</v>
      </c>
      <c r="C880" s="14">
        <v>182000</v>
      </c>
      <c r="D880" s="14">
        <v>184900</v>
      </c>
      <c r="E880" s="14">
        <v>181900</v>
      </c>
      <c r="F880" t="s">
        <v>796</v>
      </c>
      <c r="G880" s="15">
        <v>1.8200000000000001E-2</v>
      </c>
    </row>
    <row r="881" spans="1:7" x14ac:dyDescent="0.15">
      <c r="A881" s="86">
        <v>45015</v>
      </c>
      <c r="B881" s="18">
        <v>181200</v>
      </c>
      <c r="C881" s="14">
        <v>179200</v>
      </c>
      <c r="D881" s="14">
        <v>181900</v>
      </c>
      <c r="E881" s="14">
        <v>178800</v>
      </c>
      <c r="F881" t="s">
        <v>797</v>
      </c>
      <c r="G881" s="15">
        <v>4.4000000000000003E-3</v>
      </c>
    </row>
    <row r="882" spans="1:7" x14ac:dyDescent="0.15">
      <c r="A882" s="86">
        <v>45014</v>
      </c>
      <c r="B882" s="18">
        <v>180400</v>
      </c>
      <c r="C882" s="14">
        <v>175800</v>
      </c>
      <c r="D882" s="14">
        <v>180700</v>
      </c>
      <c r="E882" s="14">
        <v>175800</v>
      </c>
      <c r="F882" t="s">
        <v>798</v>
      </c>
      <c r="G882" s="15">
        <v>1.8599999999999998E-2</v>
      </c>
    </row>
    <row r="883" spans="1:7" x14ac:dyDescent="0.15">
      <c r="A883" s="86">
        <v>45013</v>
      </c>
      <c r="B883" s="18">
        <v>177100</v>
      </c>
      <c r="C883" s="14">
        <v>177100</v>
      </c>
      <c r="D883" s="14">
        <v>178300</v>
      </c>
      <c r="E883" s="14">
        <v>175800</v>
      </c>
      <c r="F883" t="s">
        <v>799</v>
      </c>
      <c r="G883" s="15">
        <v>5.7000000000000002E-3</v>
      </c>
    </row>
    <row r="884" spans="1:7" x14ac:dyDescent="0.15">
      <c r="A884" s="86">
        <v>45012</v>
      </c>
      <c r="B884" s="18">
        <v>176100</v>
      </c>
      <c r="C884" s="14">
        <v>177700</v>
      </c>
      <c r="D884" s="14">
        <v>177700</v>
      </c>
      <c r="E884" s="14">
        <v>174800</v>
      </c>
      <c r="F884" t="s">
        <v>800</v>
      </c>
      <c r="G884" s="15">
        <v>-8.9999999999999993E-3</v>
      </c>
    </row>
    <row r="885" spans="1:7" x14ac:dyDescent="0.15">
      <c r="A885" s="86">
        <v>45011</v>
      </c>
      <c r="B885" s="18">
        <v>177700</v>
      </c>
      <c r="C885" s="14">
        <v>177700</v>
      </c>
      <c r="D885" s="14">
        <v>177700</v>
      </c>
      <c r="E885" s="14">
        <v>177700</v>
      </c>
      <c r="G885" s="15">
        <v>0</v>
      </c>
    </row>
    <row r="886" spans="1:7" x14ac:dyDescent="0.15">
      <c r="A886" s="86">
        <v>45009</v>
      </c>
      <c r="B886" s="18">
        <v>177700</v>
      </c>
      <c r="C886" s="14">
        <v>180600</v>
      </c>
      <c r="D886" s="14">
        <v>180600</v>
      </c>
      <c r="E886" s="14">
        <v>175300</v>
      </c>
      <c r="F886" t="s">
        <v>801</v>
      </c>
      <c r="G886" s="15">
        <v>-1.55E-2</v>
      </c>
    </row>
    <row r="887" spans="1:7" x14ac:dyDescent="0.15">
      <c r="A887" s="86">
        <v>45008</v>
      </c>
      <c r="B887" s="18">
        <v>180500</v>
      </c>
      <c r="C887" s="14">
        <v>179300</v>
      </c>
      <c r="D887" s="14">
        <v>182400</v>
      </c>
      <c r="E887" s="14">
        <v>178700</v>
      </c>
      <c r="F887" t="s">
        <v>802</v>
      </c>
      <c r="G887" s="15">
        <v>1.1000000000000001E-3</v>
      </c>
    </row>
    <row r="888" spans="1:7" x14ac:dyDescent="0.15">
      <c r="A888" s="86">
        <v>45007</v>
      </c>
      <c r="B888" s="18">
        <v>180300</v>
      </c>
      <c r="C888" s="14">
        <v>177000</v>
      </c>
      <c r="D888" s="14">
        <v>180500</v>
      </c>
      <c r="E888" s="14">
        <v>176700</v>
      </c>
      <c r="F888" t="s">
        <v>803</v>
      </c>
      <c r="G888" s="15">
        <v>2.5600000000000001E-2</v>
      </c>
    </row>
    <row r="889" spans="1:7" x14ac:dyDescent="0.15">
      <c r="A889" s="86">
        <v>45006</v>
      </c>
      <c r="B889" s="18">
        <v>175800</v>
      </c>
      <c r="C889" s="14">
        <v>175900</v>
      </c>
      <c r="D889" s="14">
        <v>176900</v>
      </c>
      <c r="E889" s="14">
        <v>174800</v>
      </c>
      <c r="F889" t="s">
        <v>804</v>
      </c>
      <c r="G889" s="15">
        <v>4.0000000000000001E-3</v>
      </c>
    </row>
    <row r="890" spans="1:7" x14ac:dyDescent="0.15">
      <c r="A890" s="86">
        <v>45005</v>
      </c>
      <c r="B890" s="18">
        <v>175100</v>
      </c>
      <c r="C890" s="14">
        <v>176500</v>
      </c>
      <c r="D890" s="14">
        <v>177000</v>
      </c>
      <c r="E890" s="14">
        <v>174800</v>
      </c>
      <c r="F890" t="s">
        <v>805</v>
      </c>
      <c r="G890" s="15">
        <v>-8.5000000000000006E-3</v>
      </c>
    </row>
    <row r="891" spans="1:7" x14ac:dyDescent="0.15">
      <c r="A891" s="86">
        <v>45004</v>
      </c>
      <c r="B891" s="18">
        <v>176600</v>
      </c>
      <c r="C891" s="14">
        <v>176600</v>
      </c>
      <c r="D891" s="14">
        <v>176600</v>
      </c>
      <c r="E891" s="14">
        <v>176600</v>
      </c>
      <c r="G891" s="15">
        <v>0</v>
      </c>
    </row>
    <row r="892" spans="1:7" x14ac:dyDescent="0.15">
      <c r="A892" s="86">
        <v>45002</v>
      </c>
      <c r="B892" s="18">
        <v>176600</v>
      </c>
      <c r="C892" s="14">
        <v>175200</v>
      </c>
      <c r="D892" s="14">
        <v>176600</v>
      </c>
      <c r="E892" s="14">
        <v>173200</v>
      </c>
      <c r="F892" t="s">
        <v>806</v>
      </c>
      <c r="G892" s="15">
        <v>1.49E-2</v>
      </c>
    </row>
    <row r="893" spans="1:7" x14ac:dyDescent="0.15">
      <c r="A893" s="86">
        <v>45001</v>
      </c>
      <c r="B893" s="18">
        <v>174000</v>
      </c>
      <c r="C893" s="14">
        <v>172800</v>
      </c>
      <c r="D893" s="14">
        <v>174800</v>
      </c>
      <c r="E893" s="14">
        <v>171800</v>
      </c>
      <c r="F893" t="s">
        <v>807</v>
      </c>
      <c r="G893" s="15">
        <v>-1.6999999999999999E-3</v>
      </c>
    </row>
    <row r="894" spans="1:7" x14ac:dyDescent="0.15">
      <c r="A894" s="86">
        <v>45000</v>
      </c>
      <c r="B894" s="18">
        <v>174300</v>
      </c>
      <c r="C894" s="14">
        <v>172700</v>
      </c>
      <c r="D894" s="14">
        <v>175500</v>
      </c>
      <c r="E894" s="14">
        <v>172700</v>
      </c>
      <c r="F894" t="s">
        <v>808</v>
      </c>
      <c r="G894" s="15">
        <v>1.9300000000000001E-2</v>
      </c>
    </row>
    <row r="895" spans="1:7" x14ac:dyDescent="0.15">
      <c r="A895" s="86">
        <v>44999</v>
      </c>
      <c r="B895" s="18">
        <v>171000</v>
      </c>
      <c r="C895" s="14">
        <v>175200</v>
      </c>
      <c r="D895" s="14">
        <v>175900</v>
      </c>
      <c r="E895" s="14">
        <v>170500</v>
      </c>
      <c r="F895" t="s">
        <v>809</v>
      </c>
      <c r="G895" s="15">
        <v>-2.8400000000000002E-2</v>
      </c>
    </row>
    <row r="896" spans="1:7" x14ac:dyDescent="0.15">
      <c r="A896" s="86">
        <v>44998</v>
      </c>
      <c r="B896" s="18">
        <v>176000</v>
      </c>
      <c r="C896" s="14">
        <v>174400</v>
      </c>
      <c r="D896" s="14">
        <v>176300</v>
      </c>
      <c r="E896" s="14">
        <v>173500</v>
      </c>
      <c r="F896" t="s">
        <v>810</v>
      </c>
      <c r="G896" s="15">
        <v>5.7000000000000002E-3</v>
      </c>
    </row>
    <row r="897" spans="1:7" x14ac:dyDescent="0.15">
      <c r="A897" s="86">
        <v>44997</v>
      </c>
      <c r="B897" s="18">
        <v>175000</v>
      </c>
      <c r="C897" s="14">
        <v>175000</v>
      </c>
      <c r="D897" s="14">
        <v>175000</v>
      </c>
      <c r="E897" s="14">
        <v>175000</v>
      </c>
      <c r="G897" s="15">
        <v>0</v>
      </c>
    </row>
    <row r="898" spans="1:7" x14ac:dyDescent="0.15">
      <c r="A898" s="86">
        <v>44995</v>
      </c>
      <c r="B898" s="18">
        <v>175000</v>
      </c>
      <c r="C898" s="14">
        <v>174700</v>
      </c>
      <c r="D898" s="14">
        <v>176700</v>
      </c>
      <c r="E898" s="14">
        <v>174600</v>
      </c>
      <c r="F898" t="s">
        <v>811</v>
      </c>
      <c r="G898" s="15">
        <v>-7.4000000000000003E-3</v>
      </c>
    </row>
    <row r="899" spans="1:7" x14ac:dyDescent="0.15">
      <c r="A899" s="86">
        <v>44994</v>
      </c>
      <c r="B899" s="18">
        <v>176300</v>
      </c>
      <c r="C899" s="14">
        <v>176600</v>
      </c>
      <c r="D899" s="14">
        <v>180400</v>
      </c>
      <c r="E899" s="14">
        <v>175700</v>
      </c>
      <c r="F899" t="s">
        <v>812</v>
      </c>
      <c r="G899" s="15">
        <v>8.0000000000000002E-3</v>
      </c>
    </row>
    <row r="900" spans="1:7" x14ac:dyDescent="0.15">
      <c r="A900" s="86">
        <v>44993</v>
      </c>
      <c r="B900" s="18">
        <v>174900</v>
      </c>
      <c r="C900" s="14">
        <v>174300</v>
      </c>
      <c r="D900" s="14">
        <v>176100</v>
      </c>
      <c r="E900" s="14">
        <v>174100</v>
      </c>
      <c r="F900" t="s">
        <v>813</v>
      </c>
      <c r="G900" s="15">
        <v>-1.1000000000000001E-3</v>
      </c>
    </row>
    <row r="901" spans="1:7" x14ac:dyDescent="0.15">
      <c r="A901" s="86">
        <v>44992</v>
      </c>
      <c r="B901" s="18">
        <v>175100</v>
      </c>
      <c r="C901" s="14">
        <v>176500</v>
      </c>
      <c r="D901" s="14">
        <v>177500</v>
      </c>
      <c r="E901" s="14">
        <v>175100</v>
      </c>
      <c r="F901" t="s">
        <v>814</v>
      </c>
      <c r="G901" s="15">
        <v>-1.35E-2</v>
      </c>
    </row>
    <row r="902" spans="1:7" x14ac:dyDescent="0.15">
      <c r="A902" s="86">
        <v>44991</v>
      </c>
      <c r="B902" s="18">
        <v>177500</v>
      </c>
      <c r="C902" s="14">
        <v>177800</v>
      </c>
      <c r="D902" s="14">
        <v>178500</v>
      </c>
      <c r="E902" s="14">
        <v>176000</v>
      </c>
      <c r="F902" t="s">
        <v>815</v>
      </c>
      <c r="G902" s="15">
        <v>8.0000000000000002E-3</v>
      </c>
    </row>
    <row r="903" spans="1:7" x14ac:dyDescent="0.15">
      <c r="A903" s="86">
        <v>44990</v>
      </c>
      <c r="B903" s="18">
        <v>176100</v>
      </c>
      <c r="C903" s="14">
        <v>176100</v>
      </c>
      <c r="D903" s="14">
        <v>176100</v>
      </c>
      <c r="E903" s="14">
        <v>176100</v>
      </c>
      <c r="G903" s="15">
        <v>0</v>
      </c>
    </row>
    <row r="904" spans="1:7" x14ac:dyDescent="0.15">
      <c r="A904" s="86">
        <v>44988</v>
      </c>
      <c r="B904" s="18">
        <v>176100</v>
      </c>
      <c r="C904" s="14">
        <v>177500</v>
      </c>
      <c r="D904" s="14">
        <v>178200</v>
      </c>
      <c r="E904" s="14">
        <v>175000</v>
      </c>
      <c r="F904" t="s">
        <v>816</v>
      </c>
      <c r="G904" s="15">
        <v>-1.34E-2</v>
      </c>
    </row>
    <row r="905" spans="1:7" x14ac:dyDescent="0.15">
      <c r="A905" s="86">
        <v>44987</v>
      </c>
      <c r="B905" s="18">
        <v>178500</v>
      </c>
      <c r="C905" s="14">
        <v>176500</v>
      </c>
      <c r="D905" s="14">
        <v>179800</v>
      </c>
      <c r="E905" s="14">
        <v>176500</v>
      </c>
      <c r="F905" t="s">
        <v>817</v>
      </c>
      <c r="G905" s="15">
        <v>1.2500000000000001E-2</v>
      </c>
    </row>
    <row r="906" spans="1:7" x14ac:dyDescent="0.15">
      <c r="A906" s="86">
        <v>44986</v>
      </c>
      <c r="B906" s="18">
        <v>176300</v>
      </c>
      <c r="C906" s="14">
        <v>176300</v>
      </c>
      <c r="D906" s="14">
        <v>176300</v>
      </c>
      <c r="E906" s="14">
        <v>176300</v>
      </c>
      <c r="G906" s="15">
        <v>0</v>
      </c>
    </row>
    <row r="907" spans="1:7" x14ac:dyDescent="0.15">
      <c r="A907" s="86">
        <v>44985</v>
      </c>
      <c r="B907" s="18">
        <v>176300</v>
      </c>
      <c r="C907" s="14">
        <v>174100</v>
      </c>
      <c r="D907" s="14">
        <v>178100</v>
      </c>
      <c r="E907" s="14">
        <v>174000</v>
      </c>
      <c r="F907" t="s">
        <v>818</v>
      </c>
      <c r="G907" s="15">
        <v>1.7299999999999999E-2</v>
      </c>
    </row>
    <row r="908" spans="1:7" x14ac:dyDescent="0.15">
      <c r="A908" s="86">
        <v>44984</v>
      </c>
      <c r="B908" s="18">
        <v>173300</v>
      </c>
      <c r="C908" s="14">
        <v>173100</v>
      </c>
      <c r="D908" s="14">
        <v>173600</v>
      </c>
      <c r="E908" s="14">
        <v>170200</v>
      </c>
      <c r="F908" t="s">
        <v>819</v>
      </c>
      <c r="G908" s="15">
        <v>-3.5000000000000001E-3</v>
      </c>
    </row>
    <row r="909" spans="1:7" x14ac:dyDescent="0.15">
      <c r="A909" s="86">
        <v>44983</v>
      </c>
      <c r="B909" s="18">
        <v>173900</v>
      </c>
      <c r="C909" s="14">
        <v>173900</v>
      </c>
      <c r="D909" s="14">
        <v>173900</v>
      </c>
      <c r="E909" s="14">
        <v>173900</v>
      </c>
      <c r="G909" s="15">
        <v>0</v>
      </c>
    </row>
    <row r="910" spans="1:7" x14ac:dyDescent="0.15">
      <c r="A910" s="86">
        <v>44981</v>
      </c>
      <c r="B910" s="18">
        <v>173900</v>
      </c>
      <c r="C910" s="14">
        <v>176200</v>
      </c>
      <c r="D910" s="14">
        <v>177300</v>
      </c>
      <c r="E910" s="14">
        <v>173800</v>
      </c>
      <c r="F910" t="s">
        <v>820</v>
      </c>
      <c r="G910" s="15">
        <v>-1.3100000000000001E-2</v>
      </c>
    </row>
    <row r="911" spans="1:7" x14ac:dyDescent="0.15">
      <c r="A911" s="86">
        <v>44980</v>
      </c>
      <c r="B911" s="18">
        <v>176200</v>
      </c>
      <c r="C911" s="14">
        <v>174400</v>
      </c>
      <c r="D911" s="14">
        <v>178600</v>
      </c>
      <c r="E911" s="14">
        <v>174300</v>
      </c>
      <c r="F911" t="s">
        <v>821</v>
      </c>
      <c r="G911" s="15">
        <v>1.15E-2</v>
      </c>
    </row>
    <row r="912" spans="1:7" x14ac:dyDescent="0.15">
      <c r="A912" s="86">
        <v>44979</v>
      </c>
      <c r="B912" s="18">
        <v>174200</v>
      </c>
      <c r="C912" s="14">
        <v>175800</v>
      </c>
      <c r="D912" s="14">
        <v>176900</v>
      </c>
      <c r="E912" s="14">
        <v>174000</v>
      </c>
      <c r="F912" t="s">
        <v>822</v>
      </c>
      <c r="G912" s="15">
        <v>-2.24E-2</v>
      </c>
    </row>
    <row r="913" spans="1:7" x14ac:dyDescent="0.15">
      <c r="A913" s="86">
        <v>44978</v>
      </c>
      <c r="B913" s="18">
        <v>178200</v>
      </c>
      <c r="C913" s="14">
        <v>178500</v>
      </c>
      <c r="D913" s="14">
        <v>179000</v>
      </c>
      <c r="E913" s="14">
        <v>175500</v>
      </c>
      <c r="F913" t="s">
        <v>823</v>
      </c>
      <c r="G913" s="15">
        <v>0</v>
      </c>
    </row>
    <row r="914" spans="1:7" x14ac:dyDescent="0.15">
      <c r="A914" s="86">
        <v>44977</v>
      </c>
      <c r="B914" s="18">
        <v>178200</v>
      </c>
      <c r="C914" s="14">
        <v>179400</v>
      </c>
      <c r="D914" s="14">
        <v>179400</v>
      </c>
      <c r="E914" s="14">
        <v>176600</v>
      </c>
      <c r="F914" t="s">
        <v>824</v>
      </c>
      <c r="G914" s="15">
        <v>-4.4999999999999997E-3</v>
      </c>
    </row>
    <row r="915" spans="1:7" x14ac:dyDescent="0.15">
      <c r="A915" s="86">
        <v>44976</v>
      </c>
      <c r="B915" s="18">
        <v>179000</v>
      </c>
      <c r="C915" s="14">
        <v>179000</v>
      </c>
      <c r="D915" s="14">
        <v>179000</v>
      </c>
      <c r="E915" s="14">
        <v>179000</v>
      </c>
      <c r="G915" s="15">
        <v>0</v>
      </c>
    </row>
    <row r="916" spans="1:7" x14ac:dyDescent="0.15">
      <c r="A916" s="86">
        <v>44974</v>
      </c>
      <c r="B916" s="18">
        <v>179000</v>
      </c>
      <c r="C916" s="14">
        <v>177400</v>
      </c>
      <c r="D916" s="14">
        <v>179800</v>
      </c>
      <c r="E916" s="14">
        <v>177000</v>
      </c>
      <c r="F916" t="s">
        <v>825</v>
      </c>
      <c r="G916" s="15">
        <v>-1.6999999999999999E-3</v>
      </c>
    </row>
    <row r="917" spans="1:7" x14ac:dyDescent="0.15">
      <c r="A917" s="86">
        <v>44973</v>
      </c>
      <c r="B917" s="18">
        <v>179300</v>
      </c>
      <c r="C917" s="14">
        <v>173400</v>
      </c>
      <c r="D917" s="14">
        <v>180000</v>
      </c>
      <c r="E917" s="14">
        <v>173300</v>
      </c>
      <c r="F917" t="s">
        <v>416</v>
      </c>
      <c r="G917" s="15">
        <v>3.8199999999999998E-2</v>
      </c>
    </row>
    <row r="918" spans="1:7" x14ac:dyDescent="0.15">
      <c r="A918" s="86">
        <v>44972</v>
      </c>
      <c r="B918" s="18">
        <v>172700</v>
      </c>
      <c r="C918" s="14">
        <v>174600</v>
      </c>
      <c r="D918" s="14">
        <v>175300</v>
      </c>
      <c r="E918" s="14">
        <v>171800</v>
      </c>
      <c r="F918" t="s">
        <v>826</v>
      </c>
      <c r="G918" s="15">
        <v>-5.7999999999999996E-3</v>
      </c>
    </row>
    <row r="919" spans="1:7" x14ac:dyDescent="0.15">
      <c r="A919" s="86">
        <v>44971</v>
      </c>
      <c r="B919" s="18">
        <v>173700</v>
      </c>
      <c r="C919" s="14">
        <v>172900</v>
      </c>
      <c r="D919" s="14">
        <v>175700</v>
      </c>
      <c r="E919" s="14">
        <v>172700</v>
      </c>
      <c r="F919" t="s">
        <v>827</v>
      </c>
      <c r="G919" s="15">
        <v>1.2200000000000001E-2</v>
      </c>
    </row>
    <row r="920" spans="1:7" x14ac:dyDescent="0.15">
      <c r="A920" s="86">
        <v>44970</v>
      </c>
      <c r="B920" s="18">
        <v>171600</v>
      </c>
      <c r="C920" s="14">
        <v>172700</v>
      </c>
      <c r="D920" s="14">
        <v>174300</v>
      </c>
      <c r="E920" s="14">
        <v>171300</v>
      </c>
      <c r="F920" t="s">
        <v>828</v>
      </c>
      <c r="G920" s="15">
        <v>-1.04E-2</v>
      </c>
    </row>
    <row r="921" spans="1:7" x14ac:dyDescent="0.15">
      <c r="A921" s="86">
        <v>44969</v>
      </c>
      <c r="B921" s="18">
        <v>173400</v>
      </c>
      <c r="C921" s="14">
        <v>173400</v>
      </c>
      <c r="D921" s="14">
        <v>173400</v>
      </c>
      <c r="E921" s="14">
        <v>173400</v>
      </c>
      <c r="G921" s="15">
        <v>0</v>
      </c>
    </row>
    <row r="922" spans="1:7" x14ac:dyDescent="0.15">
      <c r="A922" s="86">
        <v>44967</v>
      </c>
      <c r="B922" s="18">
        <v>173400</v>
      </c>
      <c r="C922" s="14">
        <v>171600</v>
      </c>
      <c r="D922" s="14">
        <v>173500</v>
      </c>
      <c r="E922" s="14">
        <v>171100</v>
      </c>
      <c r="F922" t="s">
        <v>829</v>
      </c>
      <c r="G922" s="15">
        <v>4.5999999999999999E-3</v>
      </c>
    </row>
    <row r="923" spans="1:7" x14ac:dyDescent="0.15">
      <c r="A923" s="86">
        <v>44966</v>
      </c>
      <c r="B923" s="18">
        <v>172600</v>
      </c>
      <c r="C923" s="14">
        <v>171900</v>
      </c>
      <c r="D923" s="14">
        <v>174000</v>
      </c>
      <c r="E923" s="14">
        <v>171500</v>
      </c>
      <c r="F923" t="s">
        <v>830</v>
      </c>
      <c r="G923" s="15">
        <v>-5.9999999999999995E-4</v>
      </c>
    </row>
    <row r="924" spans="1:7" x14ac:dyDescent="0.15">
      <c r="A924" s="86">
        <v>44965</v>
      </c>
      <c r="B924" s="18">
        <v>172700</v>
      </c>
      <c r="C924" s="14">
        <v>171500</v>
      </c>
      <c r="D924" s="14">
        <v>173000</v>
      </c>
      <c r="E924" s="14">
        <v>170200</v>
      </c>
      <c r="F924" t="s">
        <v>831</v>
      </c>
      <c r="G924" s="15">
        <v>1.29E-2</v>
      </c>
    </row>
    <row r="925" spans="1:7" x14ac:dyDescent="0.15">
      <c r="A925" s="86">
        <v>44964</v>
      </c>
      <c r="B925" s="18">
        <v>170500</v>
      </c>
      <c r="C925" s="14">
        <v>171000</v>
      </c>
      <c r="D925" s="14">
        <v>171200</v>
      </c>
      <c r="E925" s="14">
        <v>169500</v>
      </c>
      <c r="F925" t="s">
        <v>832</v>
      </c>
      <c r="G925" s="15">
        <v>-1.1999999999999999E-3</v>
      </c>
    </row>
    <row r="926" spans="1:7" x14ac:dyDescent="0.15">
      <c r="A926" s="86">
        <v>44963</v>
      </c>
      <c r="B926" s="18">
        <v>170700</v>
      </c>
      <c r="C926" s="14">
        <v>174000</v>
      </c>
      <c r="D926" s="14">
        <v>174700</v>
      </c>
      <c r="E926" s="14">
        <v>170700</v>
      </c>
      <c r="F926" t="s">
        <v>833</v>
      </c>
      <c r="G926" s="15">
        <v>-1.2200000000000001E-2</v>
      </c>
    </row>
    <row r="927" spans="1:7" x14ac:dyDescent="0.15">
      <c r="A927" s="86">
        <v>44962</v>
      </c>
      <c r="B927" s="18">
        <v>172800</v>
      </c>
      <c r="C927" s="14">
        <v>172800</v>
      </c>
      <c r="D927" s="14">
        <v>172800</v>
      </c>
      <c r="E927" s="14">
        <v>172800</v>
      </c>
      <c r="G927" s="15">
        <v>0</v>
      </c>
    </row>
    <row r="928" spans="1:7" x14ac:dyDescent="0.15">
      <c r="A928" s="86">
        <v>44960</v>
      </c>
      <c r="B928" s="18">
        <v>172800</v>
      </c>
      <c r="C928" s="14">
        <v>170100</v>
      </c>
      <c r="D928" s="14">
        <v>174500</v>
      </c>
      <c r="E928" s="14">
        <v>169600</v>
      </c>
      <c r="F928" t="s">
        <v>834</v>
      </c>
      <c r="G928" s="15">
        <v>1.7100000000000001E-2</v>
      </c>
    </row>
    <row r="929" spans="1:7" x14ac:dyDescent="0.15">
      <c r="A929" s="86">
        <v>44959</v>
      </c>
      <c r="B929" s="18">
        <v>169900</v>
      </c>
      <c r="C929" s="14">
        <v>171500</v>
      </c>
      <c r="D929" s="14">
        <v>172900</v>
      </c>
      <c r="E929" s="14">
        <v>169300</v>
      </c>
      <c r="F929" t="s">
        <v>835</v>
      </c>
      <c r="G929" s="15">
        <v>-5.9999999999999995E-4</v>
      </c>
    </row>
    <row r="930" spans="1:7" x14ac:dyDescent="0.15">
      <c r="A930" s="86">
        <v>44958</v>
      </c>
      <c r="B930" s="18">
        <v>170000</v>
      </c>
      <c r="C930" s="14">
        <v>169200</v>
      </c>
      <c r="D930" s="14">
        <v>171500</v>
      </c>
      <c r="E930" s="14">
        <v>168700</v>
      </c>
      <c r="F930" t="s">
        <v>836</v>
      </c>
      <c r="G930" s="15">
        <v>1.7999999999999999E-2</v>
      </c>
    </row>
    <row r="931" spans="1:7" x14ac:dyDescent="0.15">
      <c r="A931" s="86">
        <v>44957</v>
      </c>
      <c r="B931" s="18">
        <v>167000</v>
      </c>
      <c r="C931" s="14">
        <v>169000</v>
      </c>
      <c r="D931" s="14">
        <v>170400</v>
      </c>
      <c r="E931" s="14">
        <v>167000</v>
      </c>
      <c r="F931" t="s">
        <v>837</v>
      </c>
      <c r="G931" s="15">
        <v>-1.7600000000000001E-2</v>
      </c>
    </row>
    <row r="932" spans="1:7" x14ac:dyDescent="0.15">
      <c r="A932" s="86">
        <v>44956</v>
      </c>
      <c r="B932" s="18">
        <v>170000</v>
      </c>
      <c r="C932" s="14">
        <v>174400</v>
      </c>
      <c r="D932" s="14">
        <v>175700</v>
      </c>
      <c r="E932" s="14">
        <v>169400</v>
      </c>
      <c r="F932" t="s">
        <v>838</v>
      </c>
      <c r="G932" s="15">
        <v>-2.24E-2</v>
      </c>
    </row>
    <row r="933" spans="1:7" x14ac:dyDescent="0.15">
      <c r="A933" s="86">
        <v>44955</v>
      </c>
      <c r="B933" s="18">
        <v>173900</v>
      </c>
      <c r="C933" s="14">
        <v>173900</v>
      </c>
      <c r="D933" s="14">
        <v>173900</v>
      </c>
      <c r="E933" s="14">
        <v>173900</v>
      </c>
      <c r="G933" s="15">
        <v>0</v>
      </c>
    </row>
    <row r="934" spans="1:7" x14ac:dyDescent="0.15">
      <c r="A934" s="86">
        <v>44953</v>
      </c>
      <c r="B934" s="18">
        <v>173900</v>
      </c>
      <c r="C934" s="14">
        <v>177000</v>
      </c>
      <c r="D934" s="14">
        <v>177600</v>
      </c>
      <c r="E934" s="14">
        <v>173300</v>
      </c>
      <c r="F934" t="s">
        <v>150</v>
      </c>
      <c r="G934" s="15">
        <v>-5.7000000000000002E-3</v>
      </c>
    </row>
    <row r="935" spans="1:7" x14ac:dyDescent="0.15">
      <c r="A935" s="86">
        <v>44952</v>
      </c>
      <c r="B935" s="18">
        <v>174900</v>
      </c>
      <c r="C935" s="14">
        <v>166600</v>
      </c>
      <c r="D935" s="14">
        <v>176200</v>
      </c>
      <c r="E935" s="14">
        <v>166600</v>
      </c>
      <c r="F935" t="s">
        <v>125</v>
      </c>
      <c r="G935" s="15">
        <v>5.5500000000000001E-2</v>
      </c>
    </row>
    <row r="936" spans="1:7" x14ac:dyDescent="0.15">
      <c r="A936" s="86">
        <v>44951</v>
      </c>
      <c r="B936" s="18">
        <v>165700</v>
      </c>
      <c r="C936" s="14">
        <v>166100</v>
      </c>
      <c r="D936" s="14">
        <v>166500</v>
      </c>
      <c r="E936" s="14">
        <v>165200</v>
      </c>
      <c r="F936" t="s">
        <v>839</v>
      </c>
      <c r="G936" s="15">
        <v>7.3000000000000001E-3</v>
      </c>
    </row>
    <row r="937" spans="1:7" x14ac:dyDescent="0.15">
      <c r="A937" s="86">
        <v>44950</v>
      </c>
      <c r="B937" s="18">
        <v>164500</v>
      </c>
      <c r="C937" s="14">
        <v>164500</v>
      </c>
      <c r="D937" s="14">
        <v>164500</v>
      </c>
      <c r="E937" s="14">
        <v>164500</v>
      </c>
      <c r="G937" s="15">
        <v>0</v>
      </c>
    </row>
    <row r="938" spans="1:7" x14ac:dyDescent="0.15">
      <c r="A938" s="86">
        <v>44946</v>
      </c>
      <c r="B938" s="18">
        <v>164500</v>
      </c>
      <c r="C938" s="14">
        <v>163000</v>
      </c>
      <c r="D938" s="14">
        <v>164500</v>
      </c>
      <c r="E938" s="14">
        <v>163000</v>
      </c>
      <c r="F938" t="s">
        <v>840</v>
      </c>
      <c r="G938" s="15">
        <v>3.0000000000000001E-3</v>
      </c>
    </row>
    <row r="939" spans="1:7" x14ac:dyDescent="0.15">
      <c r="A939" s="86">
        <v>44945</v>
      </c>
      <c r="B939" s="18">
        <v>164000</v>
      </c>
      <c r="C939" s="14">
        <v>162000</v>
      </c>
      <c r="D939" s="14">
        <v>164000</v>
      </c>
      <c r="E939" s="14">
        <v>162000</v>
      </c>
      <c r="F939" t="s">
        <v>841</v>
      </c>
      <c r="G939" s="15">
        <v>-3.0000000000000001E-3</v>
      </c>
    </row>
    <row r="940" spans="1:7" x14ac:dyDescent="0.15">
      <c r="A940" s="86">
        <v>44944</v>
      </c>
      <c r="B940" s="18">
        <v>164500</v>
      </c>
      <c r="C940" s="14">
        <v>166500</v>
      </c>
      <c r="D940" s="14">
        <v>166500</v>
      </c>
      <c r="E940" s="14">
        <v>162500</v>
      </c>
      <c r="F940" t="s">
        <v>842</v>
      </c>
      <c r="G940" s="15">
        <v>-8.9999999999999993E-3</v>
      </c>
    </row>
    <row r="941" spans="1:7" x14ac:dyDescent="0.15">
      <c r="A941" s="86">
        <v>44943</v>
      </c>
      <c r="B941" s="18">
        <v>166000</v>
      </c>
      <c r="C941" s="14">
        <v>166500</v>
      </c>
      <c r="D941" s="14">
        <v>167000</v>
      </c>
      <c r="E941" s="14">
        <v>164500</v>
      </c>
      <c r="F941" t="s">
        <v>843</v>
      </c>
      <c r="G941" s="15">
        <v>-3.0000000000000001E-3</v>
      </c>
    </row>
    <row r="942" spans="1:7" x14ac:dyDescent="0.15">
      <c r="A942" s="86">
        <v>44942</v>
      </c>
      <c r="B942" s="18">
        <v>166500</v>
      </c>
      <c r="C942" s="14">
        <v>166500</v>
      </c>
      <c r="D942" s="14">
        <v>167500</v>
      </c>
      <c r="E942" s="14">
        <v>163500</v>
      </c>
      <c r="F942" t="s">
        <v>844</v>
      </c>
      <c r="G942" s="15">
        <v>-1.4800000000000001E-2</v>
      </c>
    </row>
    <row r="943" spans="1:7" x14ac:dyDescent="0.15">
      <c r="A943" s="86">
        <v>44941</v>
      </c>
      <c r="B943" s="18">
        <v>169000</v>
      </c>
      <c r="C943" s="14">
        <v>169000</v>
      </c>
      <c r="D943" s="14">
        <v>169000</v>
      </c>
      <c r="E943" s="14">
        <v>169000</v>
      </c>
      <c r="G943" s="15">
        <v>0</v>
      </c>
    </row>
    <row r="944" spans="1:7" x14ac:dyDescent="0.15">
      <c r="A944" s="86">
        <v>44939</v>
      </c>
      <c r="B944" s="18">
        <v>169000</v>
      </c>
      <c r="C944" s="14">
        <v>167500</v>
      </c>
      <c r="D944" s="14">
        <v>170000</v>
      </c>
      <c r="E944" s="14">
        <v>167000</v>
      </c>
      <c r="F944" t="s">
        <v>845</v>
      </c>
      <c r="G944" s="15">
        <v>1.4999999999999999E-2</v>
      </c>
    </row>
    <row r="945" spans="1:7" x14ac:dyDescent="0.15">
      <c r="A945" s="86">
        <v>44938</v>
      </c>
      <c r="B945" s="18">
        <v>166500</v>
      </c>
      <c r="C945" s="14">
        <v>166000</v>
      </c>
      <c r="D945" s="14">
        <v>168000</v>
      </c>
      <c r="E945" s="14">
        <v>164500</v>
      </c>
      <c r="F945" t="s">
        <v>846</v>
      </c>
      <c r="G945" s="15">
        <v>1.52E-2</v>
      </c>
    </row>
    <row r="946" spans="1:7" x14ac:dyDescent="0.15">
      <c r="A946" s="86">
        <v>44937</v>
      </c>
      <c r="B946" s="18">
        <v>164000</v>
      </c>
      <c r="C946" s="14">
        <v>163500</v>
      </c>
      <c r="D946" s="14">
        <v>165000</v>
      </c>
      <c r="E946" s="14">
        <v>163000</v>
      </c>
      <c r="F946" t="s">
        <v>847</v>
      </c>
      <c r="G946" s="15">
        <v>6.1000000000000004E-3</v>
      </c>
    </row>
    <row r="947" spans="1:7" x14ac:dyDescent="0.15">
      <c r="A947" s="86">
        <v>44936</v>
      </c>
      <c r="B947" s="18">
        <v>163000</v>
      </c>
      <c r="C947" s="14">
        <v>162500</v>
      </c>
      <c r="D947" s="14">
        <v>164000</v>
      </c>
      <c r="E947" s="14">
        <v>161500</v>
      </c>
      <c r="F947" t="s">
        <v>848</v>
      </c>
      <c r="G947" s="15">
        <v>-6.1000000000000004E-3</v>
      </c>
    </row>
    <row r="948" spans="1:7" x14ac:dyDescent="0.15">
      <c r="A948" s="86">
        <v>44935</v>
      </c>
      <c r="B948" s="18">
        <v>164000</v>
      </c>
      <c r="C948" s="14">
        <v>161000</v>
      </c>
      <c r="D948" s="14">
        <v>164500</v>
      </c>
      <c r="E948" s="14">
        <v>160000</v>
      </c>
      <c r="F948" t="s">
        <v>849</v>
      </c>
      <c r="G948" s="15">
        <v>2.8199999999999999E-2</v>
      </c>
    </row>
    <row r="949" spans="1:7" x14ac:dyDescent="0.15">
      <c r="A949" s="86">
        <v>44932</v>
      </c>
      <c r="B949" s="18">
        <v>159500</v>
      </c>
      <c r="C949" s="14">
        <v>157500</v>
      </c>
      <c r="D949" s="14">
        <v>161500</v>
      </c>
      <c r="E949" s="14">
        <v>157500</v>
      </c>
      <c r="F949" t="s">
        <v>850</v>
      </c>
      <c r="G949" s="15">
        <v>3.0999999999999999E-3</v>
      </c>
    </row>
    <row r="950" spans="1:7" x14ac:dyDescent="0.15">
      <c r="A950" s="86">
        <v>44931</v>
      </c>
      <c r="B950" s="18">
        <v>159000</v>
      </c>
      <c r="C950" s="14">
        <v>161000</v>
      </c>
      <c r="D950" s="14">
        <v>161500</v>
      </c>
      <c r="E950" s="14">
        <v>158000</v>
      </c>
      <c r="F950" t="s">
        <v>851</v>
      </c>
      <c r="G950" s="15">
        <v>-9.2999999999999992E-3</v>
      </c>
    </row>
    <row r="951" spans="1:7" x14ac:dyDescent="0.15">
      <c r="A951" s="86">
        <v>44930</v>
      </c>
      <c r="B951" s="18">
        <v>160500</v>
      </c>
      <c r="C951" s="14">
        <v>157500</v>
      </c>
      <c r="D951" s="14">
        <v>161000</v>
      </c>
      <c r="E951" s="14">
        <v>157500</v>
      </c>
      <c r="F951" t="s">
        <v>852</v>
      </c>
      <c r="G951" s="15">
        <v>9.4000000000000004E-3</v>
      </c>
    </row>
    <row r="952" spans="1:7" x14ac:dyDescent="0.15">
      <c r="A952" s="86">
        <v>44929</v>
      </c>
      <c r="B952" s="18">
        <v>159000</v>
      </c>
      <c r="C952" s="14">
        <v>158500</v>
      </c>
      <c r="D952" s="14">
        <v>160500</v>
      </c>
      <c r="E952" s="14">
        <v>156000</v>
      </c>
      <c r="F952" t="s">
        <v>853</v>
      </c>
      <c r="G952" s="15">
        <v>1.2699999999999999E-2</v>
      </c>
    </row>
    <row r="953" spans="1:7" x14ac:dyDescent="0.15">
      <c r="A953" s="86">
        <v>44928</v>
      </c>
      <c r="B953" s="18">
        <v>157000</v>
      </c>
      <c r="C953" s="14">
        <v>154000</v>
      </c>
      <c r="D953" s="14">
        <v>161000</v>
      </c>
      <c r="E953" s="14">
        <v>154000</v>
      </c>
      <c r="F953" t="s">
        <v>106</v>
      </c>
      <c r="G953" s="15">
        <v>3.9699999999999999E-2</v>
      </c>
    </row>
    <row r="954" spans="1:7" x14ac:dyDescent="0.15">
      <c r="A954" s="86">
        <v>44924</v>
      </c>
      <c r="B954" s="18">
        <v>151000</v>
      </c>
      <c r="C954" s="14">
        <v>153000</v>
      </c>
      <c r="D954" s="14">
        <v>154000</v>
      </c>
      <c r="E954" s="14">
        <v>150500</v>
      </c>
      <c r="F954" t="s">
        <v>854</v>
      </c>
      <c r="G954" s="15">
        <v>-1.95E-2</v>
      </c>
    </row>
    <row r="955" spans="1:7" x14ac:dyDescent="0.15">
      <c r="A955" s="86">
        <v>44923</v>
      </c>
      <c r="B955" s="18">
        <v>154000</v>
      </c>
      <c r="C955" s="14">
        <v>156000</v>
      </c>
      <c r="D955" s="14">
        <v>156500</v>
      </c>
      <c r="E955" s="14">
        <v>154000</v>
      </c>
      <c r="F955" t="s">
        <v>423</v>
      </c>
      <c r="G955" s="15">
        <v>-2.53E-2</v>
      </c>
    </row>
    <row r="956" spans="1:7" x14ac:dyDescent="0.15">
      <c r="A956" s="86">
        <v>44922</v>
      </c>
      <c r="B956" s="18">
        <v>158000</v>
      </c>
      <c r="C956" s="14">
        <v>158500</v>
      </c>
      <c r="D956" s="14">
        <v>160000</v>
      </c>
      <c r="E956" s="14">
        <v>157000</v>
      </c>
      <c r="F956" t="s">
        <v>855</v>
      </c>
      <c r="G956" s="15">
        <v>0</v>
      </c>
    </row>
    <row r="957" spans="1:7" x14ac:dyDescent="0.15">
      <c r="A957" s="86">
        <v>44921</v>
      </c>
      <c r="B957" s="18">
        <v>158000</v>
      </c>
      <c r="C957" s="14">
        <v>157000</v>
      </c>
      <c r="D957" s="14">
        <v>159000</v>
      </c>
      <c r="E957" s="14">
        <v>157000</v>
      </c>
      <c r="F957" t="s">
        <v>856</v>
      </c>
      <c r="G957" s="15">
        <v>6.4000000000000003E-3</v>
      </c>
    </row>
    <row r="958" spans="1:7" x14ac:dyDescent="0.15">
      <c r="A958" s="86">
        <v>44920</v>
      </c>
      <c r="B958" s="18">
        <v>157000</v>
      </c>
      <c r="C958" s="14">
        <v>157000</v>
      </c>
      <c r="D958" s="14">
        <v>157000</v>
      </c>
      <c r="E958" s="14">
        <v>157000</v>
      </c>
      <c r="G958" s="15">
        <v>0</v>
      </c>
    </row>
    <row r="959" spans="1:7" x14ac:dyDescent="0.15">
      <c r="A959" s="86">
        <v>44918</v>
      </c>
      <c r="B959" s="18">
        <v>157000</v>
      </c>
      <c r="C959" s="14">
        <v>157000</v>
      </c>
      <c r="D959" s="14">
        <v>158000</v>
      </c>
      <c r="E959" s="14">
        <v>155500</v>
      </c>
      <c r="F959" t="s">
        <v>857</v>
      </c>
      <c r="G959" s="15">
        <v>-9.4999999999999998E-3</v>
      </c>
    </row>
    <row r="960" spans="1:7" x14ac:dyDescent="0.15">
      <c r="A960" s="86">
        <v>44917</v>
      </c>
      <c r="B960" s="18">
        <v>158500</v>
      </c>
      <c r="C960" s="14">
        <v>156500</v>
      </c>
      <c r="D960" s="14">
        <v>159500</v>
      </c>
      <c r="E960" s="14">
        <v>156500</v>
      </c>
      <c r="F960" t="s">
        <v>858</v>
      </c>
      <c r="G960" s="15">
        <v>1.6E-2</v>
      </c>
    </row>
    <row r="961" spans="1:7" x14ac:dyDescent="0.15">
      <c r="A961" s="86">
        <v>44916</v>
      </c>
      <c r="B961" s="18">
        <v>156000</v>
      </c>
      <c r="C961" s="14">
        <v>157000</v>
      </c>
      <c r="D961" s="14">
        <v>157500</v>
      </c>
      <c r="E961" s="14">
        <v>155500</v>
      </c>
      <c r="F961" t="s">
        <v>859</v>
      </c>
      <c r="G961" s="15">
        <v>-6.4000000000000003E-3</v>
      </c>
    </row>
    <row r="962" spans="1:7" x14ac:dyDescent="0.15">
      <c r="A962" s="86">
        <v>44915</v>
      </c>
      <c r="B962" s="18">
        <v>157000</v>
      </c>
      <c r="C962" s="14">
        <v>158000</v>
      </c>
      <c r="D962" s="14">
        <v>158500</v>
      </c>
      <c r="E962" s="14">
        <v>154500</v>
      </c>
      <c r="F962" t="s">
        <v>860</v>
      </c>
      <c r="G962" s="15">
        <v>-1.26E-2</v>
      </c>
    </row>
    <row r="963" spans="1:7" x14ac:dyDescent="0.15">
      <c r="A963" s="86">
        <v>44914</v>
      </c>
      <c r="B963" s="18">
        <v>159000</v>
      </c>
      <c r="C963" s="14">
        <v>160500</v>
      </c>
      <c r="D963" s="14">
        <v>161500</v>
      </c>
      <c r="E963" s="14">
        <v>157500</v>
      </c>
      <c r="F963" t="s">
        <v>861</v>
      </c>
      <c r="G963" s="15">
        <v>-2.1499999999999998E-2</v>
      </c>
    </row>
    <row r="964" spans="1:7" x14ac:dyDescent="0.15">
      <c r="A964" s="86">
        <v>44913</v>
      </c>
      <c r="B964" s="18">
        <v>162500</v>
      </c>
      <c r="C964" s="14">
        <v>162500</v>
      </c>
      <c r="D964" s="14">
        <v>162500</v>
      </c>
      <c r="E964" s="14">
        <v>162500</v>
      </c>
      <c r="G964" s="15">
        <v>0</v>
      </c>
    </row>
    <row r="965" spans="1:7" x14ac:dyDescent="0.15">
      <c r="A965" s="86">
        <v>44911</v>
      </c>
      <c r="B965" s="18">
        <v>162500</v>
      </c>
      <c r="C965" s="14">
        <v>160000</v>
      </c>
      <c r="D965" s="14">
        <v>163000</v>
      </c>
      <c r="E965" s="14">
        <v>160000</v>
      </c>
      <c r="F965" t="s">
        <v>862</v>
      </c>
      <c r="G965" s="15">
        <v>3.0999999999999999E-3</v>
      </c>
    </row>
    <row r="966" spans="1:7" x14ac:dyDescent="0.15">
      <c r="A966" s="86">
        <v>44910</v>
      </c>
      <c r="B966" s="18">
        <v>162000</v>
      </c>
      <c r="C966" s="14">
        <v>162500</v>
      </c>
      <c r="D966" s="14">
        <v>165000</v>
      </c>
      <c r="E966" s="14">
        <v>162000</v>
      </c>
      <c r="F966" t="s">
        <v>863</v>
      </c>
      <c r="G966" s="15">
        <v>-9.1999999999999998E-3</v>
      </c>
    </row>
    <row r="967" spans="1:7" x14ac:dyDescent="0.15">
      <c r="A967" s="86">
        <v>44909</v>
      </c>
      <c r="B967" s="18">
        <v>163500</v>
      </c>
      <c r="C967" s="14">
        <v>160000</v>
      </c>
      <c r="D967" s="14">
        <v>165000</v>
      </c>
      <c r="E967" s="14">
        <v>159500</v>
      </c>
      <c r="F967" t="s">
        <v>864</v>
      </c>
      <c r="G967" s="15">
        <v>2.5100000000000001E-2</v>
      </c>
    </row>
    <row r="968" spans="1:7" x14ac:dyDescent="0.15">
      <c r="A968" s="86">
        <v>44908</v>
      </c>
      <c r="B968" s="18">
        <v>159500</v>
      </c>
      <c r="C968" s="14">
        <v>164000</v>
      </c>
      <c r="D968" s="14">
        <v>164000</v>
      </c>
      <c r="E968" s="14">
        <v>158000</v>
      </c>
      <c r="F968" t="s">
        <v>865</v>
      </c>
      <c r="G968" s="15">
        <v>-2.4500000000000001E-2</v>
      </c>
    </row>
    <row r="969" spans="1:7" x14ac:dyDescent="0.15">
      <c r="A969" s="86">
        <v>44907</v>
      </c>
      <c r="B969" s="18">
        <v>163500</v>
      </c>
      <c r="C969" s="14">
        <v>162000</v>
      </c>
      <c r="D969" s="14">
        <v>163500</v>
      </c>
      <c r="E969" s="14">
        <v>162000</v>
      </c>
      <c r="F969" t="s">
        <v>866</v>
      </c>
      <c r="G969" s="15">
        <v>6.1999999999999998E-3</v>
      </c>
    </row>
    <row r="970" spans="1:7" x14ac:dyDescent="0.15">
      <c r="A970" s="86">
        <v>44906</v>
      </c>
      <c r="B970" s="18">
        <v>162500</v>
      </c>
      <c r="C970" s="14">
        <v>162500</v>
      </c>
      <c r="D970" s="14">
        <v>162500</v>
      </c>
      <c r="E970" s="14">
        <v>162500</v>
      </c>
      <c r="G970" s="15">
        <v>0</v>
      </c>
    </row>
    <row r="971" spans="1:7" x14ac:dyDescent="0.15">
      <c r="A971" s="86">
        <v>44904</v>
      </c>
      <c r="B971" s="18">
        <v>162500</v>
      </c>
      <c r="C971" s="14">
        <v>163500</v>
      </c>
      <c r="D971" s="14">
        <v>164000</v>
      </c>
      <c r="E971" s="14">
        <v>162000</v>
      </c>
      <c r="F971" t="s">
        <v>867</v>
      </c>
      <c r="G971" s="15">
        <v>3.0999999999999999E-3</v>
      </c>
    </row>
    <row r="972" spans="1:7" x14ac:dyDescent="0.15">
      <c r="A972" s="86">
        <v>44903</v>
      </c>
      <c r="B972" s="18">
        <v>162000</v>
      </c>
      <c r="C972" s="14">
        <v>163500</v>
      </c>
      <c r="D972" s="14">
        <v>163500</v>
      </c>
      <c r="E972" s="14">
        <v>161000</v>
      </c>
      <c r="F972" t="s">
        <v>868</v>
      </c>
      <c r="G972" s="15">
        <v>-6.1000000000000004E-3</v>
      </c>
    </row>
    <row r="973" spans="1:7" x14ac:dyDescent="0.15">
      <c r="A973" s="86">
        <v>44902</v>
      </c>
      <c r="B973" s="18">
        <v>163000</v>
      </c>
      <c r="C973" s="14">
        <v>163500</v>
      </c>
      <c r="D973" s="14">
        <v>165000</v>
      </c>
      <c r="E973" s="14">
        <v>163000</v>
      </c>
      <c r="F973" t="s">
        <v>869</v>
      </c>
      <c r="G973" s="15">
        <v>-9.1000000000000004E-3</v>
      </c>
    </row>
    <row r="974" spans="1:7" x14ac:dyDescent="0.15">
      <c r="A974" s="86">
        <v>44901</v>
      </c>
      <c r="B974" s="18">
        <v>164500</v>
      </c>
      <c r="C974" s="14">
        <v>164000</v>
      </c>
      <c r="D974" s="14">
        <v>165000</v>
      </c>
      <c r="E974" s="14">
        <v>162500</v>
      </c>
      <c r="F974" t="s">
        <v>870</v>
      </c>
      <c r="G974" s="15">
        <v>-6.0000000000000001E-3</v>
      </c>
    </row>
    <row r="975" spans="1:7" x14ac:dyDescent="0.15">
      <c r="A975" s="86">
        <v>44900</v>
      </c>
      <c r="B975" s="18">
        <v>165500</v>
      </c>
      <c r="C975" s="14">
        <v>169500</v>
      </c>
      <c r="D975" s="14">
        <v>170000</v>
      </c>
      <c r="E975" s="14">
        <v>164500</v>
      </c>
      <c r="F975" t="s">
        <v>871</v>
      </c>
      <c r="G975" s="15">
        <v>-2.07E-2</v>
      </c>
    </row>
    <row r="976" spans="1:7" x14ac:dyDescent="0.15">
      <c r="A976" s="86">
        <v>44899</v>
      </c>
      <c r="B976" s="18">
        <v>169000</v>
      </c>
      <c r="C976" s="14">
        <v>169000</v>
      </c>
      <c r="D976" s="14">
        <v>169000</v>
      </c>
      <c r="E976" s="14">
        <v>169000</v>
      </c>
      <c r="G976" s="15">
        <v>0</v>
      </c>
    </row>
    <row r="977" spans="1:7" x14ac:dyDescent="0.15">
      <c r="A977" s="86">
        <v>44897</v>
      </c>
      <c r="B977" s="18">
        <v>169000</v>
      </c>
      <c r="C977" s="14">
        <v>172000</v>
      </c>
      <c r="D977" s="14">
        <v>172500</v>
      </c>
      <c r="E977" s="14">
        <v>168500</v>
      </c>
      <c r="F977" t="s">
        <v>872</v>
      </c>
      <c r="G977" s="15">
        <v>-1.46E-2</v>
      </c>
    </row>
    <row r="978" spans="1:7" x14ac:dyDescent="0.15">
      <c r="A978" s="86">
        <v>44896</v>
      </c>
      <c r="B978" s="18">
        <v>171500</v>
      </c>
      <c r="C978" s="14">
        <v>172000</v>
      </c>
      <c r="D978" s="14">
        <v>173000</v>
      </c>
      <c r="E978" s="14">
        <v>170500</v>
      </c>
      <c r="F978" t="s">
        <v>873</v>
      </c>
      <c r="G978" s="15">
        <v>1.4800000000000001E-2</v>
      </c>
    </row>
    <row r="979" spans="1:7" x14ac:dyDescent="0.15">
      <c r="A979" s="86">
        <v>44895</v>
      </c>
      <c r="B979" s="18">
        <v>169000</v>
      </c>
      <c r="C979" s="14">
        <v>169000</v>
      </c>
      <c r="D979" s="14">
        <v>170500</v>
      </c>
      <c r="E979" s="14">
        <v>168500</v>
      </c>
      <c r="F979" t="s">
        <v>874</v>
      </c>
      <c r="G979" s="15">
        <v>0</v>
      </c>
    </row>
    <row r="980" spans="1:7" x14ac:dyDescent="0.15">
      <c r="A980" s="86">
        <v>44894</v>
      </c>
      <c r="B980" s="18">
        <v>169000</v>
      </c>
      <c r="C980" s="14">
        <v>168000</v>
      </c>
      <c r="D980" s="14">
        <v>169500</v>
      </c>
      <c r="E980" s="14">
        <v>167000</v>
      </c>
      <c r="F980" t="s">
        <v>875</v>
      </c>
      <c r="G980" s="15">
        <v>8.9999999999999993E-3</v>
      </c>
    </row>
    <row r="981" spans="1:7" x14ac:dyDescent="0.15">
      <c r="A981" s="86">
        <v>44893</v>
      </c>
      <c r="B981" s="18">
        <v>167500</v>
      </c>
      <c r="C981" s="14">
        <v>166000</v>
      </c>
      <c r="D981" s="14">
        <v>169500</v>
      </c>
      <c r="E981" s="14">
        <v>164000</v>
      </c>
      <c r="F981" t="s">
        <v>876</v>
      </c>
      <c r="G981" s="15">
        <v>8.9999999999999993E-3</v>
      </c>
    </row>
    <row r="982" spans="1:7" x14ac:dyDescent="0.15">
      <c r="A982" s="86">
        <v>44892</v>
      </c>
      <c r="B982" s="18">
        <v>166000</v>
      </c>
      <c r="C982" s="14">
        <v>166000</v>
      </c>
      <c r="D982" s="14">
        <v>166000</v>
      </c>
      <c r="E982" s="14">
        <v>166000</v>
      </c>
      <c r="G982" s="15">
        <v>0</v>
      </c>
    </row>
    <row r="983" spans="1:7" x14ac:dyDescent="0.15">
      <c r="A983" s="86">
        <v>44890</v>
      </c>
      <c r="B983" s="18">
        <v>166000</v>
      </c>
      <c r="C983" s="14">
        <v>168000</v>
      </c>
      <c r="D983" s="14">
        <v>168500</v>
      </c>
      <c r="E983" s="14">
        <v>166000</v>
      </c>
      <c r="F983" t="s">
        <v>877</v>
      </c>
      <c r="G983" s="15">
        <v>-8.9999999999999993E-3</v>
      </c>
    </row>
    <row r="984" spans="1:7" x14ac:dyDescent="0.15">
      <c r="A984" s="86">
        <v>44889</v>
      </c>
      <c r="B984" s="18">
        <v>167500</v>
      </c>
      <c r="C984" s="14">
        <v>168000</v>
      </c>
      <c r="D984" s="14">
        <v>168500</v>
      </c>
      <c r="E984" s="14">
        <v>166500</v>
      </c>
      <c r="F984" t="s">
        <v>878</v>
      </c>
      <c r="G984" s="15">
        <v>8.9999999999999993E-3</v>
      </c>
    </row>
    <row r="985" spans="1:7" x14ac:dyDescent="0.15">
      <c r="A985" s="86">
        <v>44888</v>
      </c>
      <c r="B985" s="18">
        <v>166000</v>
      </c>
      <c r="C985" s="14">
        <v>166500</v>
      </c>
      <c r="D985" s="14">
        <v>167500</v>
      </c>
      <c r="E985" s="14">
        <v>164000</v>
      </c>
      <c r="F985" t="s">
        <v>879</v>
      </c>
      <c r="G985" s="15">
        <v>3.0000000000000001E-3</v>
      </c>
    </row>
    <row r="986" spans="1:7" x14ac:dyDescent="0.15">
      <c r="A986" s="86">
        <v>44887</v>
      </c>
      <c r="B986" s="18">
        <v>165500</v>
      </c>
      <c r="C986" s="14">
        <v>167500</v>
      </c>
      <c r="D986" s="14">
        <v>168000</v>
      </c>
      <c r="E986" s="14">
        <v>165000</v>
      </c>
      <c r="F986" t="s">
        <v>880</v>
      </c>
      <c r="G986" s="15">
        <v>-1.49E-2</v>
      </c>
    </row>
    <row r="987" spans="1:7" x14ac:dyDescent="0.15">
      <c r="A987" s="86">
        <v>44886</v>
      </c>
      <c r="B987" s="18">
        <v>168000</v>
      </c>
      <c r="C987" s="14">
        <v>169500</v>
      </c>
      <c r="D987" s="14">
        <v>170000</v>
      </c>
      <c r="E987" s="14">
        <v>166500</v>
      </c>
      <c r="F987" t="s">
        <v>881</v>
      </c>
      <c r="G987" s="15">
        <v>-8.8000000000000005E-3</v>
      </c>
    </row>
    <row r="988" spans="1:7" x14ac:dyDescent="0.15">
      <c r="A988" s="86">
        <v>44885</v>
      </c>
      <c r="B988" s="18">
        <v>169500</v>
      </c>
      <c r="C988" s="14">
        <v>169500</v>
      </c>
      <c r="D988" s="14">
        <v>169500</v>
      </c>
      <c r="E988" s="14">
        <v>169500</v>
      </c>
      <c r="G988" s="15">
        <v>0</v>
      </c>
    </row>
    <row r="989" spans="1:7" x14ac:dyDescent="0.15">
      <c r="A989" s="86">
        <v>44883</v>
      </c>
      <c r="B989" s="18">
        <v>169500</v>
      </c>
      <c r="C989" s="14">
        <v>170000</v>
      </c>
      <c r="D989" s="14">
        <v>173000</v>
      </c>
      <c r="E989" s="14">
        <v>169500</v>
      </c>
      <c r="F989" t="s">
        <v>882</v>
      </c>
      <c r="G989" s="15">
        <v>-2.8999999999999998E-3</v>
      </c>
    </row>
    <row r="990" spans="1:7" x14ac:dyDescent="0.15">
      <c r="A990" s="86">
        <v>44882</v>
      </c>
      <c r="B990" s="18">
        <v>170000</v>
      </c>
      <c r="C990" s="14">
        <v>171000</v>
      </c>
      <c r="D990" s="14">
        <v>172500</v>
      </c>
      <c r="E990" s="14">
        <v>169500</v>
      </c>
      <c r="F990" t="s">
        <v>883</v>
      </c>
      <c r="G990" s="15">
        <v>-1.1599999999999999E-2</v>
      </c>
    </row>
    <row r="991" spans="1:7" x14ac:dyDescent="0.15">
      <c r="A991" s="86">
        <v>44881</v>
      </c>
      <c r="B991" s="18">
        <v>172000</v>
      </c>
      <c r="C991" s="14">
        <v>175000</v>
      </c>
      <c r="D991" s="14">
        <v>175500</v>
      </c>
      <c r="E991" s="14">
        <v>170500</v>
      </c>
      <c r="F991" t="s">
        <v>884</v>
      </c>
      <c r="G991" s="15">
        <v>-1.43E-2</v>
      </c>
    </row>
    <row r="992" spans="1:7" x14ac:dyDescent="0.15">
      <c r="A992" s="86">
        <v>44880</v>
      </c>
      <c r="B992" s="18">
        <v>174500</v>
      </c>
      <c r="C992" s="14">
        <v>176500</v>
      </c>
      <c r="D992" s="14">
        <v>177000</v>
      </c>
      <c r="E992" s="14">
        <v>173000</v>
      </c>
      <c r="F992" t="s">
        <v>885</v>
      </c>
      <c r="G992" s="15">
        <v>-8.5000000000000006E-3</v>
      </c>
    </row>
    <row r="993" spans="1:7" x14ac:dyDescent="0.15">
      <c r="A993" s="86">
        <v>44879</v>
      </c>
      <c r="B993" s="18">
        <v>176000</v>
      </c>
      <c r="C993" s="14">
        <v>174500</v>
      </c>
      <c r="D993" s="14">
        <v>179500</v>
      </c>
      <c r="E993" s="14">
        <v>174000</v>
      </c>
      <c r="F993" t="s">
        <v>886</v>
      </c>
      <c r="G993" s="15">
        <v>2.3300000000000001E-2</v>
      </c>
    </row>
    <row r="994" spans="1:7" x14ac:dyDescent="0.15">
      <c r="A994" s="86">
        <v>44878</v>
      </c>
      <c r="B994" s="18">
        <v>172000</v>
      </c>
      <c r="C994" s="14">
        <v>172000</v>
      </c>
      <c r="D994" s="14">
        <v>172000</v>
      </c>
      <c r="E994" s="14">
        <v>172000</v>
      </c>
      <c r="G994" s="15">
        <v>0</v>
      </c>
    </row>
    <row r="995" spans="1:7" x14ac:dyDescent="0.15">
      <c r="A995" s="86">
        <v>44876</v>
      </c>
      <c r="B995" s="18">
        <v>172000</v>
      </c>
      <c r="C995" s="14">
        <v>174500</v>
      </c>
      <c r="D995" s="14">
        <v>175500</v>
      </c>
      <c r="E995" s="14">
        <v>171000</v>
      </c>
      <c r="F995" t="s">
        <v>887</v>
      </c>
      <c r="G995" s="15">
        <v>1.47E-2</v>
      </c>
    </row>
    <row r="996" spans="1:7" x14ac:dyDescent="0.15">
      <c r="A996" s="86">
        <v>44875</v>
      </c>
      <c r="B996" s="18">
        <v>169500</v>
      </c>
      <c r="C996" s="14">
        <v>167000</v>
      </c>
      <c r="D996" s="14">
        <v>173000</v>
      </c>
      <c r="E996" s="14">
        <v>166500</v>
      </c>
      <c r="F996" t="s">
        <v>556</v>
      </c>
      <c r="G996" s="15">
        <v>0</v>
      </c>
    </row>
    <row r="997" spans="1:7" x14ac:dyDescent="0.15">
      <c r="A997" s="86">
        <v>44874</v>
      </c>
      <c r="B997" s="18">
        <v>169500</v>
      </c>
      <c r="C997" s="14">
        <v>170500</v>
      </c>
      <c r="D997" s="14">
        <v>172000</v>
      </c>
      <c r="E997" s="14">
        <v>167000</v>
      </c>
      <c r="F997" t="s">
        <v>888</v>
      </c>
      <c r="G997" s="15">
        <v>-2.8999999999999998E-3</v>
      </c>
    </row>
    <row r="998" spans="1:7" x14ac:dyDescent="0.15">
      <c r="A998" s="86">
        <v>44873</v>
      </c>
      <c r="B998" s="18">
        <v>170000</v>
      </c>
      <c r="C998" s="14">
        <v>171500</v>
      </c>
      <c r="D998" s="14">
        <v>172000</v>
      </c>
      <c r="E998" s="14">
        <v>167500</v>
      </c>
      <c r="F998" t="s">
        <v>889</v>
      </c>
      <c r="G998" s="15">
        <v>2.8999999999999998E-3</v>
      </c>
    </row>
    <row r="999" spans="1:7" x14ac:dyDescent="0.15">
      <c r="A999" s="86">
        <v>44872</v>
      </c>
      <c r="B999" s="18">
        <v>169500</v>
      </c>
      <c r="C999" s="14">
        <v>166500</v>
      </c>
      <c r="D999" s="14">
        <v>170000</v>
      </c>
      <c r="E999" s="14">
        <v>165500</v>
      </c>
      <c r="F999" t="s">
        <v>171</v>
      </c>
      <c r="G999" s="15">
        <v>3.9899999999999998E-2</v>
      </c>
    </row>
    <row r="1000" spans="1:7" x14ac:dyDescent="0.15">
      <c r="A1000" s="86">
        <v>44871</v>
      </c>
      <c r="B1000" s="18">
        <v>163000</v>
      </c>
      <c r="C1000" s="14">
        <v>163000</v>
      </c>
      <c r="D1000" s="14">
        <v>163000</v>
      </c>
      <c r="E1000" s="14">
        <v>163000</v>
      </c>
      <c r="G1000" s="15">
        <v>0</v>
      </c>
    </row>
    <row r="1001" spans="1:7" x14ac:dyDescent="0.15">
      <c r="A1001" s="86">
        <v>44869</v>
      </c>
      <c r="B1001" s="18">
        <v>163000</v>
      </c>
      <c r="C1001" s="14">
        <v>162000</v>
      </c>
      <c r="D1001" s="14">
        <v>164000</v>
      </c>
      <c r="E1001" s="14">
        <v>161500</v>
      </c>
      <c r="F1001" t="s">
        <v>890</v>
      </c>
      <c r="G1001" s="15">
        <v>6.1999999999999998E-3</v>
      </c>
    </row>
    <row r="1002" spans="1:7" x14ac:dyDescent="0.15">
      <c r="A1002" s="86">
        <v>44868</v>
      </c>
      <c r="B1002" s="18">
        <v>162000</v>
      </c>
      <c r="C1002" s="14">
        <v>162500</v>
      </c>
      <c r="D1002" s="14">
        <v>163000</v>
      </c>
      <c r="E1002" s="14">
        <v>160500</v>
      </c>
      <c r="F1002" t="s">
        <v>891</v>
      </c>
      <c r="G1002" s="15">
        <v>-1.8200000000000001E-2</v>
      </c>
    </row>
    <row r="1003" spans="1:7" x14ac:dyDescent="0.15">
      <c r="A1003" s="86">
        <v>44867</v>
      </c>
      <c r="B1003" s="18">
        <v>165000</v>
      </c>
      <c r="C1003" s="14">
        <v>164500</v>
      </c>
      <c r="D1003" s="14">
        <v>165000</v>
      </c>
      <c r="E1003" s="14">
        <v>162000</v>
      </c>
      <c r="F1003" t="s">
        <v>892</v>
      </c>
      <c r="G1003" s="15">
        <v>3.0000000000000001E-3</v>
      </c>
    </row>
    <row r="1004" spans="1:7" x14ac:dyDescent="0.15">
      <c r="A1004" s="86">
        <v>44866</v>
      </c>
      <c r="B1004" s="18">
        <v>164500</v>
      </c>
      <c r="C1004" s="14">
        <v>163500</v>
      </c>
      <c r="D1004" s="14">
        <v>165000</v>
      </c>
      <c r="E1004" s="14">
        <v>162000</v>
      </c>
      <c r="F1004" t="s">
        <v>893</v>
      </c>
      <c r="G1004" s="15">
        <v>0</v>
      </c>
    </row>
    <row r="1005" spans="1:7" x14ac:dyDescent="0.15">
      <c r="A1005" s="86">
        <v>44865</v>
      </c>
      <c r="B1005" s="18">
        <v>164500</v>
      </c>
      <c r="C1005" s="14">
        <v>166000</v>
      </c>
      <c r="D1005" s="14">
        <v>166500</v>
      </c>
      <c r="E1005" s="14">
        <v>162000</v>
      </c>
      <c r="F1005" t="s">
        <v>894</v>
      </c>
      <c r="G1005" s="15">
        <v>3.0000000000000001E-3</v>
      </c>
    </row>
    <row r="1006" spans="1:7" x14ac:dyDescent="0.15">
      <c r="A1006" s="86">
        <v>44864</v>
      </c>
      <c r="B1006" s="18">
        <v>164000</v>
      </c>
      <c r="C1006" s="14">
        <v>164000</v>
      </c>
      <c r="D1006" s="14">
        <v>164000</v>
      </c>
      <c r="E1006" s="14">
        <v>164000</v>
      </c>
      <c r="G1006" s="15">
        <v>0</v>
      </c>
    </row>
    <row r="1007" spans="1:7" x14ac:dyDescent="0.15">
      <c r="A1007" s="86">
        <v>44862</v>
      </c>
      <c r="B1007" s="18">
        <v>164000</v>
      </c>
      <c r="C1007" s="14">
        <v>162000</v>
      </c>
      <c r="D1007" s="14">
        <v>166000</v>
      </c>
      <c r="E1007" s="14">
        <v>161500</v>
      </c>
      <c r="F1007" t="s">
        <v>895</v>
      </c>
      <c r="G1007" s="15">
        <v>1.23E-2</v>
      </c>
    </row>
    <row r="1008" spans="1:7" x14ac:dyDescent="0.15">
      <c r="A1008" s="86">
        <v>44861</v>
      </c>
      <c r="B1008" s="18">
        <v>162000</v>
      </c>
      <c r="C1008" s="14">
        <v>161000</v>
      </c>
      <c r="D1008" s="14">
        <v>163500</v>
      </c>
      <c r="E1008" s="14">
        <v>160500</v>
      </c>
      <c r="F1008" t="s">
        <v>896</v>
      </c>
      <c r="G1008" s="15">
        <v>9.2999999999999992E-3</v>
      </c>
    </row>
    <row r="1009" spans="1:7" x14ac:dyDescent="0.15">
      <c r="A1009" s="86">
        <v>44860</v>
      </c>
      <c r="B1009" s="18">
        <v>160500</v>
      </c>
      <c r="C1009" s="14">
        <v>163000</v>
      </c>
      <c r="D1009" s="14">
        <v>164000</v>
      </c>
      <c r="E1009" s="14">
        <v>160000</v>
      </c>
      <c r="F1009" t="s">
        <v>556</v>
      </c>
      <c r="G1009" s="15">
        <v>-1.23E-2</v>
      </c>
    </row>
    <row r="1010" spans="1:7" x14ac:dyDescent="0.15">
      <c r="A1010" s="86">
        <v>44859</v>
      </c>
      <c r="B1010" s="18">
        <v>162500</v>
      </c>
      <c r="C1010" s="14">
        <v>162500</v>
      </c>
      <c r="D1010" s="14">
        <v>163000</v>
      </c>
      <c r="E1010" s="14">
        <v>160000</v>
      </c>
      <c r="F1010" t="s">
        <v>897</v>
      </c>
      <c r="G1010" s="15">
        <v>6.1999999999999998E-3</v>
      </c>
    </row>
    <row r="1011" spans="1:7" x14ac:dyDescent="0.15">
      <c r="A1011" s="86">
        <v>44858</v>
      </c>
      <c r="B1011" s="18">
        <v>161500</v>
      </c>
      <c r="C1011" s="14">
        <v>169000</v>
      </c>
      <c r="D1011" s="14">
        <v>169500</v>
      </c>
      <c r="E1011" s="14">
        <v>161500</v>
      </c>
      <c r="F1011" t="s">
        <v>372</v>
      </c>
      <c r="G1011" s="15">
        <v>-3.2899999999999999E-2</v>
      </c>
    </row>
    <row r="1012" spans="1:7" x14ac:dyDescent="0.15">
      <c r="A1012" s="86">
        <v>44857</v>
      </c>
      <c r="B1012" s="18">
        <v>167000</v>
      </c>
      <c r="C1012" s="14">
        <v>167000</v>
      </c>
      <c r="D1012" s="14">
        <v>167000</v>
      </c>
      <c r="E1012" s="14">
        <v>167000</v>
      </c>
      <c r="G1012" s="15">
        <v>0</v>
      </c>
    </row>
    <row r="1013" spans="1:7" x14ac:dyDescent="0.15">
      <c r="A1013" s="86">
        <v>44855</v>
      </c>
      <c r="B1013" s="18">
        <v>167000</v>
      </c>
      <c r="C1013" s="14">
        <v>169000</v>
      </c>
      <c r="D1013" s="14">
        <v>169500</v>
      </c>
      <c r="E1013" s="14">
        <v>165500</v>
      </c>
      <c r="F1013" t="s">
        <v>898</v>
      </c>
      <c r="G1013" s="15">
        <v>-8.8999999999999999E-3</v>
      </c>
    </row>
    <row r="1014" spans="1:7" x14ac:dyDescent="0.15">
      <c r="A1014" s="86">
        <v>44854</v>
      </c>
      <c r="B1014" s="18">
        <v>168500</v>
      </c>
      <c r="C1014" s="14">
        <v>168500</v>
      </c>
      <c r="D1014" s="14">
        <v>169500</v>
      </c>
      <c r="E1014" s="14">
        <v>166500</v>
      </c>
      <c r="F1014" t="s">
        <v>899</v>
      </c>
      <c r="G1014" s="15">
        <v>3.0000000000000001E-3</v>
      </c>
    </row>
    <row r="1015" spans="1:7" x14ac:dyDescent="0.15">
      <c r="A1015" s="86">
        <v>44853</v>
      </c>
      <c r="B1015" s="18">
        <v>168000</v>
      </c>
      <c r="C1015" s="14">
        <v>166000</v>
      </c>
      <c r="D1015" s="14">
        <v>172500</v>
      </c>
      <c r="E1015" s="14">
        <v>166000</v>
      </c>
      <c r="F1015" t="s">
        <v>173</v>
      </c>
      <c r="G1015" s="15">
        <v>0</v>
      </c>
    </row>
    <row r="1016" spans="1:7" x14ac:dyDescent="0.15">
      <c r="A1016" s="86">
        <v>44852</v>
      </c>
      <c r="B1016" s="18">
        <v>168000</v>
      </c>
      <c r="C1016" s="14">
        <v>170500</v>
      </c>
      <c r="D1016" s="14">
        <v>171500</v>
      </c>
      <c r="E1016" s="14">
        <v>165000</v>
      </c>
      <c r="F1016" t="s">
        <v>154</v>
      </c>
      <c r="G1016" s="15">
        <v>6.0000000000000001E-3</v>
      </c>
    </row>
    <row r="1017" spans="1:7" x14ac:dyDescent="0.15">
      <c r="A1017" s="86">
        <v>44851</v>
      </c>
      <c r="B1017" s="18">
        <v>167000</v>
      </c>
      <c r="C1017" s="14">
        <v>166000</v>
      </c>
      <c r="D1017" s="14">
        <v>168500</v>
      </c>
      <c r="E1017" s="14">
        <v>164000</v>
      </c>
      <c r="F1017" t="s">
        <v>900</v>
      </c>
      <c r="G1017" s="15">
        <v>0</v>
      </c>
    </row>
    <row r="1018" spans="1:7" x14ac:dyDescent="0.15">
      <c r="A1018" s="86">
        <v>44850</v>
      </c>
      <c r="B1018" s="18">
        <v>167000</v>
      </c>
      <c r="C1018" s="14">
        <v>167000</v>
      </c>
      <c r="D1018" s="14">
        <v>167000</v>
      </c>
      <c r="E1018" s="14">
        <v>167000</v>
      </c>
      <c r="G1018" s="15">
        <v>0</v>
      </c>
    </row>
    <row r="1019" spans="1:7" x14ac:dyDescent="0.15">
      <c r="A1019" s="86">
        <v>44848</v>
      </c>
      <c r="B1019" s="18">
        <v>167000</v>
      </c>
      <c r="C1019" s="14">
        <v>167000</v>
      </c>
      <c r="D1019" s="14">
        <v>168000</v>
      </c>
      <c r="E1019" s="14">
        <v>165000</v>
      </c>
      <c r="F1019" t="s">
        <v>901</v>
      </c>
      <c r="G1019" s="15">
        <v>1.52E-2</v>
      </c>
    </row>
    <row r="1020" spans="1:7" x14ac:dyDescent="0.15">
      <c r="A1020" s="86">
        <v>44847</v>
      </c>
      <c r="B1020" s="18">
        <v>164500</v>
      </c>
      <c r="C1020" s="14">
        <v>167500</v>
      </c>
      <c r="D1020" s="14">
        <v>168000</v>
      </c>
      <c r="E1020" s="14">
        <v>164500</v>
      </c>
      <c r="F1020" t="s">
        <v>902</v>
      </c>
      <c r="G1020" s="15">
        <v>-2.0799999999999999E-2</v>
      </c>
    </row>
    <row r="1021" spans="1:7" x14ac:dyDescent="0.15">
      <c r="A1021" s="86">
        <v>44846</v>
      </c>
      <c r="B1021" s="18">
        <v>168000</v>
      </c>
      <c r="C1021" s="14">
        <v>166500</v>
      </c>
      <c r="D1021" s="14">
        <v>169500</v>
      </c>
      <c r="E1021" s="14">
        <v>165500</v>
      </c>
      <c r="F1021" t="s">
        <v>903</v>
      </c>
      <c r="G1021" s="15">
        <v>0</v>
      </c>
    </row>
    <row r="1022" spans="1:7" x14ac:dyDescent="0.15">
      <c r="A1022" s="86">
        <v>44845</v>
      </c>
      <c r="B1022" s="18">
        <v>168000</v>
      </c>
      <c r="C1022" s="14">
        <v>170000</v>
      </c>
      <c r="D1022" s="14">
        <v>170500</v>
      </c>
      <c r="E1022" s="14">
        <v>166000</v>
      </c>
      <c r="F1022" t="s">
        <v>573</v>
      </c>
      <c r="G1022" s="15">
        <v>-4.2700000000000002E-2</v>
      </c>
    </row>
    <row r="1023" spans="1:7" x14ac:dyDescent="0.15">
      <c r="A1023" s="86">
        <v>44844</v>
      </c>
      <c r="B1023" s="18">
        <v>175500</v>
      </c>
      <c r="C1023" s="14">
        <v>175500</v>
      </c>
      <c r="D1023" s="14">
        <v>175500</v>
      </c>
      <c r="E1023" s="14">
        <v>175500</v>
      </c>
      <c r="G1023" s="15">
        <v>0</v>
      </c>
    </row>
    <row r="1024" spans="1:7" x14ac:dyDescent="0.15">
      <c r="A1024" s="86">
        <v>44841</v>
      </c>
      <c r="B1024" s="18">
        <v>175500</v>
      </c>
      <c r="C1024" s="14">
        <v>176500</v>
      </c>
      <c r="D1024" s="14">
        <v>176500</v>
      </c>
      <c r="E1024" s="14">
        <v>174000</v>
      </c>
      <c r="F1024" t="s">
        <v>904</v>
      </c>
      <c r="G1024" s="15">
        <v>-1.4E-2</v>
      </c>
    </row>
    <row r="1025" spans="1:7" x14ac:dyDescent="0.15">
      <c r="A1025" s="86">
        <v>44840</v>
      </c>
      <c r="B1025" s="18">
        <v>178000</v>
      </c>
      <c r="C1025" s="14">
        <v>178500</v>
      </c>
      <c r="D1025" s="14">
        <v>179500</v>
      </c>
      <c r="E1025" s="14">
        <v>175000</v>
      </c>
      <c r="F1025" t="s">
        <v>905</v>
      </c>
      <c r="G1025" s="15">
        <v>5.5999999999999999E-3</v>
      </c>
    </row>
    <row r="1026" spans="1:7" x14ac:dyDescent="0.15">
      <c r="A1026" s="86">
        <v>44839</v>
      </c>
      <c r="B1026" s="18">
        <v>177000</v>
      </c>
      <c r="C1026" s="14">
        <v>183500</v>
      </c>
      <c r="D1026" s="14">
        <v>184000</v>
      </c>
      <c r="E1026" s="14">
        <v>172000</v>
      </c>
      <c r="F1026" t="s">
        <v>573</v>
      </c>
      <c r="G1026" s="15">
        <v>-1.3899999999999999E-2</v>
      </c>
    </row>
    <row r="1027" spans="1:7" x14ac:dyDescent="0.15">
      <c r="A1027" s="86">
        <v>44838</v>
      </c>
      <c r="B1027" s="18">
        <v>179500</v>
      </c>
      <c r="C1027" s="14">
        <v>179000</v>
      </c>
      <c r="D1027" s="14">
        <v>183000</v>
      </c>
      <c r="E1027" s="14">
        <v>177500</v>
      </c>
      <c r="F1027" t="s">
        <v>906</v>
      </c>
      <c r="G1027" s="15">
        <v>1.7000000000000001E-2</v>
      </c>
    </row>
    <row r="1028" spans="1:7" x14ac:dyDescent="0.15">
      <c r="A1028" s="86">
        <v>44837</v>
      </c>
      <c r="B1028" s="18">
        <v>176500</v>
      </c>
      <c r="C1028" s="14">
        <v>176500</v>
      </c>
      <c r="D1028" s="14">
        <v>176500</v>
      </c>
      <c r="E1028" s="14">
        <v>176500</v>
      </c>
      <c r="G1028" s="15">
        <v>0</v>
      </c>
    </row>
    <row r="1029" spans="1:7" x14ac:dyDescent="0.15">
      <c r="A1029" s="86">
        <v>44834</v>
      </c>
      <c r="B1029" s="18">
        <v>176500</v>
      </c>
      <c r="C1029" s="14">
        <v>181000</v>
      </c>
      <c r="D1029" s="14">
        <v>183000</v>
      </c>
      <c r="E1029" s="14">
        <v>174000</v>
      </c>
      <c r="F1029" t="s">
        <v>907</v>
      </c>
      <c r="G1029" s="15">
        <v>-2.75E-2</v>
      </c>
    </row>
    <row r="1030" spans="1:7" x14ac:dyDescent="0.15">
      <c r="A1030" s="86">
        <v>44833</v>
      </c>
      <c r="B1030" s="18">
        <v>181500</v>
      </c>
      <c r="C1030" s="14">
        <v>182500</v>
      </c>
      <c r="D1030" s="14">
        <v>184000</v>
      </c>
      <c r="E1030" s="14">
        <v>181000</v>
      </c>
      <c r="F1030" t="s">
        <v>908</v>
      </c>
      <c r="G1030" s="15">
        <v>1.11E-2</v>
      </c>
    </row>
    <row r="1031" spans="1:7" x14ac:dyDescent="0.15">
      <c r="A1031" s="86">
        <v>44832</v>
      </c>
      <c r="B1031" s="18">
        <v>179500</v>
      </c>
      <c r="C1031" s="14">
        <v>184000</v>
      </c>
      <c r="D1031" s="14">
        <v>184500</v>
      </c>
      <c r="E1031" s="14">
        <v>177500</v>
      </c>
      <c r="F1031" t="s">
        <v>587</v>
      </c>
      <c r="G1031" s="15">
        <v>-3.49E-2</v>
      </c>
    </row>
    <row r="1032" spans="1:7" x14ac:dyDescent="0.15">
      <c r="A1032" s="86">
        <v>44831</v>
      </c>
      <c r="B1032" s="18">
        <v>186000</v>
      </c>
      <c r="C1032" s="14">
        <v>182500</v>
      </c>
      <c r="D1032" s="14">
        <v>186000</v>
      </c>
      <c r="E1032" s="14">
        <v>182000</v>
      </c>
      <c r="F1032" t="s">
        <v>909</v>
      </c>
      <c r="G1032" s="15">
        <v>1.9199999999999998E-2</v>
      </c>
    </row>
    <row r="1033" spans="1:7" x14ac:dyDescent="0.15">
      <c r="A1033" s="86">
        <v>44830</v>
      </c>
      <c r="B1033" s="18">
        <v>182500</v>
      </c>
      <c r="C1033" s="14">
        <v>187000</v>
      </c>
      <c r="D1033" s="14">
        <v>187500</v>
      </c>
      <c r="E1033" s="14">
        <v>180500</v>
      </c>
      <c r="F1033" t="s">
        <v>910</v>
      </c>
      <c r="G1033" s="15">
        <v>-4.2000000000000003E-2</v>
      </c>
    </row>
    <row r="1034" spans="1:7" x14ac:dyDescent="0.15">
      <c r="A1034" s="86">
        <v>44829</v>
      </c>
      <c r="B1034" s="18">
        <v>190500</v>
      </c>
      <c r="C1034" s="14">
        <v>190500</v>
      </c>
      <c r="D1034" s="14">
        <v>190500</v>
      </c>
      <c r="E1034" s="14">
        <v>190500</v>
      </c>
      <c r="G1034" s="15">
        <v>0</v>
      </c>
    </row>
    <row r="1035" spans="1:7" x14ac:dyDescent="0.15">
      <c r="A1035" s="86">
        <v>44827</v>
      </c>
      <c r="B1035" s="18">
        <v>190500</v>
      </c>
      <c r="C1035" s="14">
        <v>194000</v>
      </c>
      <c r="D1035" s="14">
        <v>195500</v>
      </c>
      <c r="E1035" s="14">
        <v>190500</v>
      </c>
      <c r="F1035" t="s">
        <v>911</v>
      </c>
      <c r="G1035" s="15">
        <v>-1.55E-2</v>
      </c>
    </row>
    <row r="1036" spans="1:7" x14ac:dyDescent="0.15">
      <c r="A1036" s="86">
        <v>44826</v>
      </c>
      <c r="B1036" s="18">
        <v>193500</v>
      </c>
      <c r="C1036" s="14">
        <v>194500</v>
      </c>
      <c r="D1036" s="14">
        <v>197000</v>
      </c>
      <c r="E1036" s="14">
        <v>192500</v>
      </c>
      <c r="F1036" t="s">
        <v>912</v>
      </c>
      <c r="G1036" s="15">
        <v>-1.78E-2</v>
      </c>
    </row>
    <row r="1037" spans="1:7" x14ac:dyDescent="0.15">
      <c r="A1037" s="86">
        <v>44825</v>
      </c>
      <c r="B1037" s="18">
        <v>197000</v>
      </c>
      <c r="C1037" s="14">
        <v>197000</v>
      </c>
      <c r="D1037" s="14">
        <v>197500</v>
      </c>
      <c r="E1037" s="14">
        <v>194500</v>
      </c>
      <c r="F1037" t="s">
        <v>913</v>
      </c>
      <c r="G1037" s="15">
        <v>-7.6E-3</v>
      </c>
    </row>
    <row r="1038" spans="1:7" x14ac:dyDescent="0.15">
      <c r="A1038" s="86">
        <v>44824</v>
      </c>
      <c r="B1038" s="18">
        <v>198500</v>
      </c>
      <c r="C1038" s="14">
        <v>202500</v>
      </c>
      <c r="D1038" s="14">
        <v>202500</v>
      </c>
      <c r="E1038" s="14">
        <v>198500</v>
      </c>
      <c r="F1038" t="s">
        <v>914</v>
      </c>
      <c r="G1038" s="15">
        <v>-1.49E-2</v>
      </c>
    </row>
    <row r="1039" spans="1:7" x14ac:dyDescent="0.15">
      <c r="A1039" s="86">
        <v>44823</v>
      </c>
      <c r="B1039" s="18">
        <v>201500</v>
      </c>
      <c r="C1039" s="14">
        <v>201500</v>
      </c>
      <c r="D1039" s="14">
        <v>202000</v>
      </c>
      <c r="E1039" s="14">
        <v>198000</v>
      </c>
      <c r="F1039" t="s">
        <v>915</v>
      </c>
      <c r="G1039" s="15">
        <v>2.5000000000000001E-3</v>
      </c>
    </row>
    <row r="1040" spans="1:7" x14ac:dyDescent="0.15">
      <c r="A1040" s="86">
        <v>44822</v>
      </c>
      <c r="B1040" s="18">
        <v>201000</v>
      </c>
      <c r="C1040" s="14">
        <v>201000</v>
      </c>
      <c r="D1040" s="14">
        <v>201000</v>
      </c>
      <c r="E1040" s="14">
        <v>201000</v>
      </c>
      <c r="G1040" s="15">
        <v>0</v>
      </c>
    </row>
    <row r="1041" spans="1:7" x14ac:dyDescent="0.15">
      <c r="A1041" s="86">
        <v>44820</v>
      </c>
      <c r="B1041" s="18">
        <v>201000</v>
      </c>
      <c r="C1041" s="14">
        <v>199500</v>
      </c>
      <c r="D1041" s="14">
        <v>202500</v>
      </c>
      <c r="E1041" s="14">
        <v>199000</v>
      </c>
      <c r="F1041" t="s">
        <v>916</v>
      </c>
      <c r="G1041" s="15">
        <v>1.52E-2</v>
      </c>
    </row>
    <row r="1042" spans="1:7" x14ac:dyDescent="0.15">
      <c r="A1042" s="86">
        <v>44819</v>
      </c>
      <c r="B1042" s="18">
        <v>198000</v>
      </c>
      <c r="C1042" s="14">
        <v>199000</v>
      </c>
      <c r="D1042" s="14">
        <v>201000</v>
      </c>
      <c r="E1042" s="14">
        <v>198000</v>
      </c>
      <c r="F1042" t="s">
        <v>917</v>
      </c>
      <c r="G1042" s="15">
        <v>-2.5000000000000001E-3</v>
      </c>
    </row>
    <row r="1043" spans="1:7" x14ac:dyDescent="0.15">
      <c r="A1043" s="86">
        <v>44818</v>
      </c>
      <c r="B1043" s="18">
        <v>198500</v>
      </c>
      <c r="C1043" s="14">
        <v>197000</v>
      </c>
      <c r="D1043" s="14">
        <v>200000</v>
      </c>
      <c r="E1043" s="14">
        <v>196000</v>
      </c>
      <c r="F1043" t="s">
        <v>918</v>
      </c>
      <c r="G1043" s="15">
        <v>-0.01</v>
      </c>
    </row>
    <row r="1044" spans="1:7" x14ac:dyDescent="0.15">
      <c r="A1044" s="86">
        <v>44817</v>
      </c>
      <c r="B1044" s="18">
        <v>200500</v>
      </c>
      <c r="C1044" s="14">
        <v>200500</v>
      </c>
      <c r="D1044" s="14">
        <v>201500</v>
      </c>
      <c r="E1044" s="14">
        <v>198000</v>
      </c>
      <c r="F1044" t="s">
        <v>919</v>
      </c>
      <c r="G1044" s="15">
        <v>2.5000000000000001E-3</v>
      </c>
    </row>
    <row r="1045" spans="1:7" x14ac:dyDescent="0.15">
      <c r="A1045" s="86">
        <v>44816</v>
      </c>
      <c r="B1045" s="18">
        <v>200000</v>
      </c>
      <c r="C1045" s="14">
        <v>200000</v>
      </c>
      <c r="D1045" s="14">
        <v>200000</v>
      </c>
      <c r="E1045" s="14">
        <v>200000</v>
      </c>
      <c r="G1045" s="15">
        <v>0</v>
      </c>
    </row>
    <row r="1046" spans="1:7" x14ac:dyDescent="0.15">
      <c r="A1046" s="86">
        <v>44812</v>
      </c>
      <c r="B1046" s="18">
        <v>200000</v>
      </c>
      <c r="C1046" s="14">
        <v>202500</v>
      </c>
      <c r="D1046" s="14">
        <v>203000</v>
      </c>
      <c r="E1046" s="14">
        <v>198500</v>
      </c>
      <c r="F1046" t="s">
        <v>920</v>
      </c>
      <c r="G1046" s="15">
        <v>-9.9000000000000008E-3</v>
      </c>
    </row>
    <row r="1047" spans="1:7" x14ac:dyDescent="0.15">
      <c r="A1047" s="86">
        <v>44811</v>
      </c>
      <c r="B1047" s="18">
        <v>202000</v>
      </c>
      <c r="C1047" s="14">
        <v>201000</v>
      </c>
      <c r="D1047" s="14">
        <v>203000</v>
      </c>
      <c r="E1047" s="14">
        <v>199000</v>
      </c>
      <c r="F1047" t="s">
        <v>921</v>
      </c>
      <c r="G1047" s="15">
        <v>5.0000000000000001E-3</v>
      </c>
    </row>
    <row r="1048" spans="1:7" x14ac:dyDescent="0.15">
      <c r="A1048" s="86">
        <v>44810</v>
      </c>
      <c r="B1048" s="18">
        <v>201000</v>
      </c>
      <c r="C1048" s="14">
        <v>200500</v>
      </c>
      <c r="D1048" s="14">
        <v>201000</v>
      </c>
      <c r="E1048" s="14">
        <v>198000</v>
      </c>
      <c r="F1048" t="s">
        <v>922</v>
      </c>
      <c r="G1048" s="15">
        <v>5.0000000000000001E-3</v>
      </c>
    </row>
    <row r="1049" spans="1:7" x14ac:dyDescent="0.15">
      <c r="A1049" s="86">
        <v>44809</v>
      </c>
      <c r="B1049" s="18">
        <v>200000</v>
      </c>
      <c r="C1049" s="14">
        <v>197500</v>
      </c>
      <c r="D1049" s="14">
        <v>201000</v>
      </c>
      <c r="E1049" s="14">
        <v>197500</v>
      </c>
      <c r="F1049" t="s">
        <v>923</v>
      </c>
      <c r="G1049" s="15">
        <v>1.78E-2</v>
      </c>
    </row>
    <row r="1050" spans="1:7" x14ac:dyDescent="0.15">
      <c r="A1050" s="86">
        <v>44808</v>
      </c>
      <c r="B1050" s="18">
        <v>196500</v>
      </c>
      <c r="C1050" s="14">
        <v>196500</v>
      </c>
      <c r="D1050" s="14">
        <v>196500</v>
      </c>
      <c r="E1050" s="14">
        <v>196500</v>
      </c>
      <c r="G1050" s="15">
        <v>0</v>
      </c>
    </row>
    <row r="1051" spans="1:7" x14ac:dyDescent="0.15">
      <c r="A1051" s="86">
        <v>44806</v>
      </c>
      <c r="B1051" s="18">
        <v>196500</v>
      </c>
      <c r="C1051" s="14">
        <v>199000</v>
      </c>
      <c r="D1051" s="14">
        <v>203500</v>
      </c>
      <c r="E1051" s="14">
        <v>196000</v>
      </c>
      <c r="F1051" t="s">
        <v>924</v>
      </c>
      <c r="G1051" s="15">
        <v>5.1000000000000004E-3</v>
      </c>
    </row>
    <row r="1052" spans="1:7" x14ac:dyDescent="0.15">
      <c r="A1052" s="86">
        <v>44805</v>
      </c>
      <c r="B1052" s="18">
        <v>195500</v>
      </c>
      <c r="C1052" s="14">
        <v>193500</v>
      </c>
      <c r="D1052" s="14">
        <v>197500</v>
      </c>
      <c r="E1052" s="14">
        <v>191000</v>
      </c>
      <c r="F1052" t="s">
        <v>925</v>
      </c>
      <c r="G1052" s="15">
        <v>-2.5999999999999999E-3</v>
      </c>
    </row>
    <row r="1053" spans="1:7" x14ac:dyDescent="0.15">
      <c r="A1053" s="86">
        <v>44804</v>
      </c>
      <c r="B1053" s="18">
        <v>196000</v>
      </c>
      <c r="C1053" s="14">
        <v>195000</v>
      </c>
      <c r="D1053" s="14">
        <v>197500</v>
      </c>
      <c r="E1053" s="14">
        <v>194500</v>
      </c>
      <c r="F1053" t="s">
        <v>926</v>
      </c>
      <c r="G1053" s="15">
        <v>2.5999999999999999E-3</v>
      </c>
    </row>
    <row r="1054" spans="1:7" x14ac:dyDescent="0.15">
      <c r="A1054" s="86">
        <v>44803</v>
      </c>
      <c r="B1054" s="18">
        <v>195500</v>
      </c>
      <c r="C1054" s="14">
        <v>190500</v>
      </c>
      <c r="D1054" s="14">
        <v>196000</v>
      </c>
      <c r="E1054" s="14">
        <v>190500</v>
      </c>
      <c r="F1054" t="s">
        <v>927</v>
      </c>
      <c r="G1054" s="15">
        <v>3.7100000000000001E-2</v>
      </c>
    </row>
    <row r="1055" spans="1:7" x14ac:dyDescent="0.15">
      <c r="A1055" s="86">
        <v>44802</v>
      </c>
      <c r="B1055" s="18">
        <v>188500</v>
      </c>
      <c r="C1055" s="14">
        <v>188500</v>
      </c>
      <c r="D1055" s="14">
        <v>189000</v>
      </c>
      <c r="E1055" s="14">
        <v>186500</v>
      </c>
      <c r="F1055" t="s">
        <v>928</v>
      </c>
      <c r="G1055" s="15">
        <v>-2.58E-2</v>
      </c>
    </row>
    <row r="1056" spans="1:7" x14ac:dyDescent="0.15">
      <c r="A1056" s="86">
        <v>44801</v>
      </c>
      <c r="B1056" s="18">
        <v>193500</v>
      </c>
      <c r="C1056" s="14">
        <v>193500</v>
      </c>
      <c r="D1056" s="14">
        <v>193500</v>
      </c>
      <c r="E1056" s="14">
        <v>193500</v>
      </c>
      <c r="G1056" s="15">
        <v>0</v>
      </c>
    </row>
    <row r="1057" spans="1:7" x14ac:dyDescent="0.15">
      <c r="A1057" s="86">
        <v>44799</v>
      </c>
      <c r="B1057" s="18">
        <v>193500</v>
      </c>
      <c r="C1057" s="14">
        <v>192500</v>
      </c>
      <c r="D1057" s="14">
        <v>194000</v>
      </c>
      <c r="E1057" s="14">
        <v>191500</v>
      </c>
      <c r="F1057" t="s">
        <v>929</v>
      </c>
      <c r="G1057" s="15">
        <v>7.7999999999999996E-3</v>
      </c>
    </row>
    <row r="1058" spans="1:7" x14ac:dyDescent="0.15">
      <c r="A1058" s="86">
        <v>44798</v>
      </c>
      <c r="B1058" s="18">
        <v>192000</v>
      </c>
      <c r="C1058" s="14">
        <v>189000</v>
      </c>
      <c r="D1058" s="14">
        <v>192500</v>
      </c>
      <c r="E1058" s="14">
        <v>188500</v>
      </c>
      <c r="F1058" t="s">
        <v>930</v>
      </c>
      <c r="G1058" s="15">
        <v>2.1299999999999999E-2</v>
      </c>
    </row>
    <row r="1059" spans="1:7" x14ac:dyDescent="0.15">
      <c r="A1059" s="86">
        <v>44797</v>
      </c>
      <c r="B1059" s="18">
        <v>188000</v>
      </c>
      <c r="C1059" s="14">
        <v>190000</v>
      </c>
      <c r="D1059" s="14">
        <v>191000</v>
      </c>
      <c r="E1059" s="14">
        <v>185500</v>
      </c>
      <c r="F1059" t="s">
        <v>931</v>
      </c>
      <c r="G1059" s="15">
        <v>-5.3E-3</v>
      </c>
    </row>
    <row r="1060" spans="1:7" x14ac:dyDescent="0.15">
      <c r="A1060" s="86">
        <v>44796</v>
      </c>
      <c r="B1060" s="18">
        <v>189000</v>
      </c>
      <c r="C1060" s="14">
        <v>189000</v>
      </c>
      <c r="D1060" s="14">
        <v>193000</v>
      </c>
      <c r="E1060" s="14">
        <v>188000</v>
      </c>
      <c r="F1060" t="s">
        <v>932</v>
      </c>
      <c r="G1060" s="15">
        <v>0</v>
      </c>
    </row>
    <row r="1061" spans="1:7" x14ac:dyDescent="0.15">
      <c r="A1061" s="86">
        <v>44795</v>
      </c>
      <c r="B1061" s="18">
        <v>189000</v>
      </c>
      <c r="C1061" s="14">
        <v>187500</v>
      </c>
      <c r="D1061" s="14">
        <v>192000</v>
      </c>
      <c r="E1061" s="14">
        <v>187000</v>
      </c>
      <c r="F1061" t="s">
        <v>933</v>
      </c>
      <c r="G1061" s="15">
        <v>-5.3E-3</v>
      </c>
    </row>
    <row r="1062" spans="1:7" x14ac:dyDescent="0.15">
      <c r="A1062" s="86">
        <v>44794</v>
      </c>
      <c r="B1062" s="18">
        <v>190000</v>
      </c>
      <c r="C1062" s="14">
        <v>190000</v>
      </c>
      <c r="D1062" s="14">
        <v>190000</v>
      </c>
      <c r="E1062" s="14">
        <v>190000</v>
      </c>
      <c r="G1062" s="15">
        <v>0</v>
      </c>
    </row>
    <row r="1063" spans="1:7" x14ac:dyDescent="0.15">
      <c r="A1063" s="86">
        <v>44792</v>
      </c>
      <c r="B1063" s="18">
        <v>190000</v>
      </c>
      <c r="C1063" s="14">
        <v>187000</v>
      </c>
      <c r="D1063" s="14">
        <v>191500</v>
      </c>
      <c r="E1063" s="14">
        <v>186500</v>
      </c>
      <c r="F1063" t="s">
        <v>934</v>
      </c>
      <c r="G1063" s="15">
        <v>2.1499999999999998E-2</v>
      </c>
    </row>
    <row r="1064" spans="1:7" x14ac:dyDescent="0.15">
      <c r="A1064" s="86">
        <v>44791</v>
      </c>
      <c r="B1064" s="18">
        <v>186000</v>
      </c>
      <c r="C1064" s="14">
        <v>186500</v>
      </c>
      <c r="D1064" s="14">
        <v>187500</v>
      </c>
      <c r="E1064" s="14">
        <v>184000</v>
      </c>
      <c r="F1064" t="s">
        <v>372</v>
      </c>
      <c r="G1064" s="15">
        <v>-2.1100000000000001E-2</v>
      </c>
    </row>
    <row r="1065" spans="1:7" x14ac:dyDescent="0.15">
      <c r="A1065" s="86">
        <v>44790</v>
      </c>
      <c r="B1065" s="18">
        <v>190000</v>
      </c>
      <c r="C1065" s="14">
        <v>195000</v>
      </c>
      <c r="D1065" s="14">
        <v>196500</v>
      </c>
      <c r="E1065" s="14">
        <v>188000</v>
      </c>
      <c r="F1065" t="s">
        <v>924</v>
      </c>
      <c r="G1065" s="15">
        <v>-3.7999999999999999E-2</v>
      </c>
    </row>
    <row r="1066" spans="1:7" x14ac:dyDescent="0.15">
      <c r="A1066" s="86">
        <v>44789</v>
      </c>
      <c r="B1066" s="18">
        <v>197500</v>
      </c>
      <c r="C1066" s="14">
        <v>198000</v>
      </c>
      <c r="D1066" s="14">
        <v>199500</v>
      </c>
      <c r="E1066" s="14">
        <v>196000</v>
      </c>
      <c r="F1066" t="s">
        <v>935</v>
      </c>
      <c r="G1066" s="15">
        <v>7.7000000000000002E-3</v>
      </c>
    </row>
    <row r="1067" spans="1:7" x14ac:dyDescent="0.15">
      <c r="A1067" s="86">
        <v>44788</v>
      </c>
      <c r="B1067" s="18">
        <v>196000</v>
      </c>
      <c r="C1067" s="14">
        <v>196000</v>
      </c>
      <c r="D1067" s="14">
        <v>196000</v>
      </c>
      <c r="E1067" s="14">
        <v>196000</v>
      </c>
      <c r="G1067" s="15">
        <v>0</v>
      </c>
    </row>
    <row r="1068" spans="1:7" x14ac:dyDescent="0.15">
      <c r="A1068" s="86">
        <v>44785</v>
      </c>
      <c r="B1068" s="18">
        <v>196000</v>
      </c>
      <c r="C1068" s="14">
        <v>193500</v>
      </c>
      <c r="D1068" s="14">
        <v>197500</v>
      </c>
      <c r="E1068" s="14">
        <v>193500</v>
      </c>
      <c r="F1068" t="s">
        <v>936</v>
      </c>
      <c r="G1068" s="15">
        <v>1.55E-2</v>
      </c>
    </row>
    <row r="1069" spans="1:7" x14ac:dyDescent="0.15">
      <c r="A1069" s="86">
        <v>44784</v>
      </c>
      <c r="B1069" s="18">
        <v>193000</v>
      </c>
      <c r="C1069" s="14">
        <v>195000</v>
      </c>
      <c r="D1069" s="14">
        <v>195000</v>
      </c>
      <c r="E1069" s="14">
        <v>192500</v>
      </c>
      <c r="F1069" t="s">
        <v>937</v>
      </c>
      <c r="G1069" s="15">
        <v>2.5999999999999999E-3</v>
      </c>
    </row>
    <row r="1070" spans="1:7" x14ac:dyDescent="0.15">
      <c r="A1070" s="86">
        <v>44783</v>
      </c>
      <c r="B1070" s="18">
        <v>192500</v>
      </c>
      <c r="C1070" s="14">
        <v>193000</v>
      </c>
      <c r="D1070" s="14">
        <v>194500</v>
      </c>
      <c r="E1070" s="14">
        <v>192000</v>
      </c>
      <c r="F1070" t="s">
        <v>938</v>
      </c>
      <c r="G1070" s="15">
        <v>-5.1999999999999998E-3</v>
      </c>
    </row>
    <row r="1071" spans="1:7" x14ac:dyDescent="0.15">
      <c r="A1071" s="86">
        <v>44782</v>
      </c>
      <c r="B1071" s="18">
        <v>193500</v>
      </c>
      <c r="C1071" s="14">
        <v>195500</v>
      </c>
      <c r="D1071" s="14">
        <v>196000</v>
      </c>
      <c r="E1071" s="14">
        <v>191000</v>
      </c>
      <c r="F1071" t="s">
        <v>939</v>
      </c>
      <c r="G1071" s="15">
        <v>-1.2800000000000001E-2</v>
      </c>
    </row>
    <row r="1072" spans="1:7" x14ac:dyDescent="0.15">
      <c r="A1072" s="86">
        <v>44781</v>
      </c>
      <c r="B1072" s="18">
        <v>196000</v>
      </c>
      <c r="C1072" s="14">
        <v>193500</v>
      </c>
      <c r="D1072" s="14">
        <v>196000</v>
      </c>
      <c r="E1072" s="14">
        <v>193000</v>
      </c>
      <c r="F1072" t="s">
        <v>940</v>
      </c>
      <c r="G1072" s="15">
        <v>7.7000000000000002E-3</v>
      </c>
    </row>
    <row r="1073" spans="1:7" x14ac:dyDescent="0.15">
      <c r="A1073" s="86">
        <v>44778</v>
      </c>
      <c r="B1073" s="18">
        <v>194500</v>
      </c>
      <c r="C1073" s="14">
        <v>196000</v>
      </c>
      <c r="D1073" s="14">
        <v>197500</v>
      </c>
      <c r="E1073" s="14">
        <v>193500</v>
      </c>
      <c r="F1073" t="s">
        <v>941</v>
      </c>
      <c r="G1073" s="15">
        <v>-1.0200000000000001E-2</v>
      </c>
    </row>
    <row r="1074" spans="1:7" x14ac:dyDescent="0.15">
      <c r="A1074" s="86">
        <v>44777</v>
      </c>
      <c r="B1074" s="18">
        <v>196500</v>
      </c>
      <c r="C1074" s="14">
        <v>198000</v>
      </c>
      <c r="D1074" s="14">
        <v>198500</v>
      </c>
      <c r="E1074" s="14">
        <v>194500</v>
      </c>
      <c r="F1074" t="s">
        <v>942</v>
      </c>
      <c r="G1074" s="15">
        <v>-2.5000000000000001E-3</v>
      </c>
    </row>
    <row r="1075" spans="1:7" x14ac:dyDescent="0.15">
      <c r="A1075" s="86">
        <v>44776</v>
      </c>
      <c r="B1075" s="18">
        <v>197000</v>
      </c>
      <c r="C1075" s="14">
        <v>197000</v>
      </c>
      <c r="D1075" s="14">
        <v>198000</v>
      </c>
      <c r="E1075" s="14">
        <v>196000</v>
      </c>
      <c r="F1075" t="s">
        <v>943</v>
      </c>
      <c r="G1075" s="15">
        <v>2.5000000000000001E-3</v>
      </c>
    </row>
    <row r="1076" spans="1:7" x14ac:dyDescent="0.15">
      <c r="A1076" s="86">
        <v>44775</v>
      </c>
      <c r="B1076" s="18">
        <v>196500</v>
      </c>
      <c r="C1076" s="14">
        <v>196500</v>
      </c>
      <c r="D1076" s="14">
        <v>197000</v>
      </c>
      <c r="E1076" s="14">
        <v>193500</v>
      </c>
      <c r="F1076" t="s">
        <v>944</v>
      </c>
      <c r="G1076" s="15">
        <v>2.5999999999999999E-3</v>
      </c>
    </row>
    <row r="1077" spans="1:7" x14ac:dyDescent="0.15">
      <c r="A1077" s="86">
        <v>44774</v>
      </c>
      <c r="B1077" s="18">
        <v>196000</v>
      </c>
      <c r="C1077" s="14">
        <v>196000</v>
      </c>
      <c r="D1077" s="14">
        <v>198000</v>
      </c>
      <c r="E1077" s="14">
        <v>195000</v>
      </c>
      <c r="F1077" t="s">
        <v>945</v>
      </c>
      <c r="G1077" s="15">
        <v>0</v>
      </c>
    </row>
    <row r="1078" spans="1:7" x14ac:dyDescent="0.15">
      <c r="A1078" s="86">
        <v>44771</v>
      </c>
      <c r="B1078" s="18">
        <v>196000</v>
      </c>
      <c r="C1078" s="14">
        <v>196000</v>
      </c>
      <c r="D1078" s="14">
        <v>197000</v>
      </c>
      <c r="E1078" s="14">
        <v>194000</v>
      </c>
      <c r="F1078" t="s">
        <v>946</v>
      </c>
      <c r="G1078" s="15">
        <v>5.1000000000000004E-3</v>
      </c>
    </row>
    <row r="1079" spans="1:7" x14ac:dyDescent="0.15">
      <c r="A1079" s="86">
        <v>44770</v>
      </c>
      <c r="B1079" s="18">
        <v>195000</v>
      </c>
      <c r="C1079" s="14">
        <v>198000</v>
      </c>
      <c r="D1079" s="14">
        <v>198000</v>
      </c>
      <c r="E1079" s="14">
        <v>194000</v>
      </c>
      <c r="F1079" t="s">
        <v>947</v>
      </c>
      <c r="G1079" s="15">
        <v>-5.1000000000000004E-3</v>
      </c>
    </row>
    <row r="1080" spans="1:7" x14ac:dyDescent="0.15">
      <c r="A1080" s="86">
        <v>44769</v>
      </c>
      <c r="B1080" s="18">
        <v>196000</v>
      </c>
      <c r="C1080" s="14">
        <v>196000</v>
      </c>
      <c r="D1080" s="14">
        <v>197000</v>
      </c>
      <c r="E1080" s="14">
        <v>193000</v>
      </c>
      <c r="F1080" t="s">
        <v>948</v>
      </c>
      <c r="G1080" s="15">
        <v>0</v>
      </c>
    </row>
    <row r="1081" spans="1:7" x14ac:dyDescent="0.15">
      <c r="A1081" s="86">
        <v>44768</v>
      </c>
      <c r="B1081" s="18">
        <v>196000</v>
      </c>
      <c r="C1081" s="14">
        <v>196000</v>
      </c>
      <c r="D1081" s="14">
        <v>196500</v>
      </c>
      <c r="E1081" s="14">
        <v>192500</v>
      </c>
      <c r="F1081" t="s">
        <v>949</v>
      </c>
      <c r="G1081" s="15">
        <v>0</v>
      </c>
    </row>
    <row r="1082" spans="1:7" x14ac:dyDescent="0.15">
      <c r="A1082" s="86">
        <v>44767</v>
      </c>
      <c r="B1082" s="18">
        <v>196000</v>
      </c>
      <c r="C1082" s="14">
        <v>192500</v>
      </c>
      <c r="D1082" s="14">
        <v>198500</v>
      </c>
      <c r="E1082" s="14">
        <v>192500</v>
      </c>
      <c r="F1082" t="s">
        <v>722</v>
      </c>
      <c r="G1082" s="15">
        <v>2.6200000000000001E-2</v>
      </c>
    </row>
    <row r="1083" spans="1:7" x14ac:dyDescent="0.15">
      <c r="A1083" s="86">
        <v>44764</v>
      </c>
      <c r="B1083" s="18">
        <v>191000</v>
      </c>
      <c r="C1083" s="14">
        <v>191000</v>
      </c>
      <c r="D1083" s="14">
        <v>193000</v>
      </c>
      <c r="E1083" s="14">
        <v>188000</v>
      </c>
      <c r="F1083" t="s">
        <v>886</v>
      </c>
      <c r="G1083" s="15">
        <v>1.06E-2</v>
      </c>
    </row>
    <row r="1084" spans="1:7" x14ac:dyDescent="0.15">
      <c r="A1084" s="86">
        <v>44763</v>
      </c>
      <c r="B1084" s="18">
        <v>189000</v>
      </c>
      <c r="C1084" s="14">
        <v>189000</v>
      </c>
      <c r="D1084" s="14">
        <v>193500</v>
      </c>
      <c r="E1084" s="14">
        <v>185500</v>
      </c>
      <c r="F1084" t="s">
        <v>950</v>
      </c>
      <c r="G1084" s="15">
        <v>0</v>
      </c>
    </row>
    <row r="1085" spans="1:7" x14ac:dyDescent="0.15">
      <c r="A1085" s="86">
        <v>44762</v>
      </c>
      <c r="B1085" s="18">
        <v>189000</v>
      </c>
      <c r="C1085" s="14">
        <v>191500</v>
      </c>
      <c r="D1085" s="14">
        <v>191500</v>
      </c>
      <c r="E1085" s="14">
        <v>188500</v>
      </c>
      <c r="F1085" t="s">
        <v>951</v>
      </c>
      <c r="G1085" s="15">
        <v>2.7000000000000001E-3</v>
      </c>
    </row>
    <row r="1086" spans="1:7" x14ac:dyDescent="0.15">
      <c r="A1086" s="86">
        <v>44761</v>
      </c>
      <c r="B1086" s="18">
        <v>188500</v>
      </c>
      <c r="C1086" s="14">
        <v>185000</v>
      </c>
      <c r="D1086" s="14">
        <v>189000</v>
      </c>
      <c r="E1086" s="14">
        <v>184500</v>
      </c>
      <c r="F1086" t="s">
        <v>952</v>
      </c>
      <c r="G1086" s="15">
        <v>1.6199999999999999E-2</v>
      </c>
    </row>
    <row r="1087" spans="1:7" x14ac:dyDescent="0.15">
      <c r="A1087" s="86">
        <v>44760</v>
      </c>
      <c r="B1087" s="18">
        <v>185500</v>
      </c>
      <c r="C1087" s="14">
        <v>187000</v>
      </c>
      <c r="D1087" s="14">
        <v>188500</v>
      </c>
      <c r="E1087" s="14">
        <v>183500</v>
      </c>
      <c r="F1087" t="s">
        <v>953</v>
      </c>
      <c r="G1087" s="15">
        <v>1.09E-2</v>
      </c>
    </row>
    <row r="1088" spans="1:7" x14ac:dyDescent="0.15">
      <c r="A1088" s="86">
        <v>44757</v>
      </c>
      <c r="B1088" s="18">
        <v>183500</v>
      </c>
      <c r="C1088" s="14">
        <v>183000</v>
      </c>
      <c r="D1088" s="14">
        <v>184500</v>
      </c>
      <c r="E1088" s="14">
        <v>178500</v>
      </c>
      <c r="F1088" t="s">
        <v>954</v>
      </c>
      <c r="G1088" s="15">
        <v>5.4999999999999997E-3</v>
      </c>
    </row>
    <row r="1089" spans="1:7" x14ac:dyDescent="0.15">
      <c r="A1089" s="86">
        <v>44756</v>
      </c>
      <c r="B1089" s="18">
        <v>182500</v>
      </c>
      <c r="C1089" s="14">
        <v>183000</v>
      </c>
      <c r="D1089" s="14">
        <v>184500</v>
      </c>
      <c r="E1089" s="14">
        <v>180500</v>
      </c>
      <c r="F1089" t="s">
        <v>955</v>
      </c>
      <c r="G1089" s="15">
        <v>-5.4000000000000003E-3</v>
      </c>
    </row>
    <row r="1090" spans="1:7" x14ac:dyDescent="0.15">
      <c r="A1090" s="86">
        <v>44755</v>
      </c>
      <c r="B1090" s="18">
        <v>183500</v>
      </c>
      <c r="C1090" s="14">
        <v>180000</v>
      </c>
      <c r="D1090" s="14">
        <v>185000</v>
      </c>
      <c r="E1090" s="14">
        <v>178500</v>
      </c>
      <c r="F1090" t="s">
        <v>956</v>
      </c>
      <c r="G1090" s="15">
        <v>2.5100000000000001E-2</v>
      </c>
    </row>
    <row r="1091" spans="1:7" x14ac:dyDescent="0.15">
      <c r="A1091" s="86">
        <v>44754</v>
      </c>
      <c r="B1091" s="18">
        <v>179000</v>
      </c>
      <c r="C1091" s="14">
        <v>180000</v>
      </c>
      <c r="D1091" s="14">
        <v>181500</v>
      </c>
      <c r="E1091" s="14">
        <v>177000</v>
      </c>
      <c r="F1091" t="s">
        <v>957</v>
      </c>
      <c r="G1091" s="15">
        <v>0</v>
      </c>
    </row>
    <row r="1092" spans="1:7" x14ac:dyDescent="0.15">
      <c r="A1092" s="86">
        <v>44753</v>
      </c>
      <c r="B1092" s="18">
        <v>179000</v>
      </c>
      <c r="C1092" s="14">
        <v>180000</v>
      </c>
      <c r="D1092" s="14">
        <v>182000</v>
      </c>
      <c r="E1092" s="14">
        <v>179000</v>
      </c>
      <c r="F1092" t="s">
        <v>958</v>
      </c>
      <c r="G1092" s="15">
        <v>5.5999999999999999E-3</v>
      </c>
    </row>
    <row r="1093" spans="1:7" x14ac:dyDescent="0.15">
      <c r="A1093" s="86">
        <v>44752</v>
      </c>
      <c r="B1093" s="18">
        <v>178000</v>
      </c>
      <c r="C1093" s="14">
        <v>178000</v>
      </c>
      <c r="D1093" s="14">
        <v>178000</v>
      </c>
      <c r="E1093" s="14">
        <v>178000</v>
      </c>
      <c r="G1093" s="15">
        <v>0</v>
      </c>
    </row>
    <row r="1094" spans="1:7" x14ac:dyDescent="0.15">
      <c r="A1094" s="86">
        <v>44750</v>
      </c>
      <c r="B1094" s="18">
        <v>178000</v>
      </c>
      <c r="C1094" s="14">
        <v>177500</v>
      </c>
      <c r="D1094" s="14">
        <v>180500</v>
      </c>
      <c r="E1094" s="14">
        <v>177000</v>
      </c>
      <c r="F1094" t="s">
        <v>959</v>
      </c>
      <c r="G1094" s="15">
        <v>1.7100000000000001E-2</v>
      </c>
    </row>
    <row r="1095" spans="1:7" x14ac:dyDescent="0.15">
      <c r="A1095" s="86">
        <v>44749</v>
      </c>
      <c r="B1095" s="18">
        <v>175000</v>
      </c>
      <c r="C1095" s="14">
        <v>175000</v>
      </c>
      <c r="D1095" s="14">
        <v>177000</v>
      </c>
      <c r="E1095" s="14">
        <v>172500</v>
      </c>
      <c r="F1095" t="s">
        <v>960</v>
      </c>
      <c r="G1095" s="15">
        <v>1.4500000000000001E-2</v>
      </c>
    </row>
    <row r="1096" spans="1:7" x14ac:dyDescent="0.15">
      <c r="A1096" s="86">
        <v>44748</v>
      </c>
      <c r="B1096" s="18">
        <v>172500</v>
      </c>
      <c r="C1096" s="14">
        <v>176000</v>
      </c>
      <c r="D1096" s="14">
        <v>177000</v>
      </c>
      <c r="E1096" s="14">
        <v>172000</v>
      </c>
      <c r="F1096" t="s">
        <v>961</v>
      </c>
      <c r="G1096" s="15">
        <v>-2.8199999999999999E-2</v>
      </c>
    </row>
    <row r="1097" spans="1:7" x14ac:dyDescent="0.15">
      <c r="A1097" s="86">
        <v>44747</v>
      </c>
      <c r="B1097" s="18">
        <v>177500</v>
      </c>
      <c r="C1097" s="14">
        <v>180000</v>
      </c>
      <c r="D1097" s="14">
        <v>181000</v>
      </c>
      <c r="E1097" s="14">
        <v>173500</v>
      </c>
      <c r="F1097" t="s">
        <v>155</v>
      </c>
      <c r="G1097" s="15">
        <v>-2.8E-3</v>
      </c>
    </row>
    <row r="1098" spans="1:7" x14ac:dyDescent="0.15">
      <c r="A1098" s="86">
        <v>44746</v>
      </c>
      <c r="B1098" s="18">
        <v>178000</v>
      </c>
      <c r="C1098" s="14">
        <v>181000</v>
      </c>
      <c r="D1098" s="14">
        <v>183000</v>
      </c>
      <c r="E1098" s="14">
        <v>175000</v>
      </c>
      <c r="F1098" t="s">
        <v>379</v>
      </c>
      <c r="G1098" s="15">
        <v>-1.11E-2</v>
      </c>
    </row>
    <row r="1099" spans="1:7" x14ac:dyDescent="0.15">
      <c r="A1099" s="86">
        <v>44745</v>
      </c>
      <c r="B1099" s="18">
        <v>180000</v>
      </c>
      <c r="C1099" s="14">
        <v>180000</v>
      </c>
      <c r="D1099" s="14">
        <v>180000</v>
      </c>
      <c r="E1099" s="14">
        <v>180000</v>
      </c>
      <c r="G1099" s="15">
        <v>0</v>
      </c>
    </row>
    <row r="1100" spans="1:7" x14ac:dyDescent="0.15">
      <c r="A1100" s="86">
        <v>44743</v>
      </c>
      <c r="B1100" s="18">
        <v>180000</v>
      </c>
      <c r="C1100" s="14">
        <v>181500</v>
      </c>
      <c r="D1100" s="14">
        <v>185000</v>
      </c>
      <c r="E1100" s="14">
        <v>179500</v>
      </c>
      <c r="F1100" t="s">
        <v>962</v>
      </c>
      <c r="G1100" s="15">
        <v>-2.8E-3</v>
      </c>
    </row>
    <row r="1101" spans="1:7" x14ac:dyDescent="0.15">
      <c r="A1101" s="86">
        <v>44742</v>
      </c>
      <c r="B1101" s="18">
        <v>180500</v>
      </c>
      <c r="C1101" s="14">
        <v>176500</v>
      </c>
      <c r="D1101" s="14">
        <v>184500</v>
      </c>
      <c r="E1101" s="14">
        <v>175500</v>
      </c>
      <c r="F1101" t="s">
        <v>504</v>
      </c>
      <c r="G1101" s="15">
        <v>2.8500000000000001E-2</v>
      </c>
    </row>
    <row r="1102" spans="1:7" x14ac:dyDescent="0.15">
      <c r="A1102" s="86">
        <v>44741</v>
      </c>
      <c r="B1102" s="18">
        <v>175500</v>
      </c>
      <c r="C1102" s="14">
        <v>180000</v>
      </c>
      <c r="D1102" s="14">
        <v>181000</v>
      </c>
      <c r="E1102" s="14">
        <v>172500</v>
      </c>
      <c r="F1102" t="s">
        <v>963</v>
      </c>
      <c r="G1102" s="15">
        <v>-5.6500000000000002E-2</v>
      </c>
    </row>
    <row r="1103" spans="1:7" x14ac:dyDescent="0.15">
      <c r="A1103" s="86">
        <v>44740</v>
      </c>
      <c r="B1103" s="18">
        <v>186000</v>
      </c>
      <c r="C1103" s="14">
        <v>183500</v>
      </c>
      <c r="D1103" s="14">
        <v>189000</v>
      </c>
      <c r="E1103" s="14">
        <v>183500</v>
      </c>
      <c r="F1103" t="s">
        <v>502</v>
      </c>
      <c r="G1103" s="15">
        <v>1.6400000000000001E-2</v>
      </c>
    </row>
    <row r="1104" spans="1:7" x14ac:dyDescent="0.15">
      <c r="A1104" s="86">
        <v>44739</v>
      </c>
      <c r="B1104" s="18">
        <v>183000</v>
      </c>
      <c r="C1104" s="14">
        <v>177000</v>
      </c>
      <c r="D1104" s="14">
        <v>185000</v>
      </c>
      <c r="E1104" s="14">
        <v>176500</v>
      </c>
      <c r="F1104" t="s">
        <v>722</v>
      </c>
      <c r="G1104" s="15">
        <v>5.7799999999999997E-2</v>
      </c>
    </row>
    <row r="1105" spans="1:7" x14ac:dyDescent="0.15">
      <c r="A1105" s="86">
        <v>44736</v>
      </c>
      <c r="B1105" s="18">
        <v>173000</v>
      </c>
      <c r="C1105" s="14">
        <v>170500</v>
      </c>
      <c r="D1105" s="14">
        <v>175000</v>
      </c>
      <c r="E1105" s="14">
        <v>170500</v>
      </c>
      <c r="F1105" t="s">
        <v>964</v>
      </c>
      <c r="G1105" s="15">
        <v>1.17E-2</v>
      </c>
    </row>
    <row r="1106" spans="1:7" x14ac:dyDescent="0.15">
      <c r="A1106" s="86">
        <v>44735</v>
      </c>
      <c r="B1106" s="18">
        <v>171000</v>
      </c>
      <c r="C1106" s="14">
        <v>171500</v>
      </c>
      <c r="D1106" s="14">
        <v>174000</v>
      </c>
      <c r="E1106" s="14">
        <v>170000</v>
      </c>
      <c r="F1106" t="s">
        <v>965</v>
      </c>
      <c r="G1106" s="15">
        <v>-2.8999999999999998E-3</v>
      </c>
    </row>
    <row r="1107" spans="1:7" x14ac:dyDescent="0.15">
      <c r="A1107" s="86">
        <v>44734</v>
      </c>
      <c r="B1107" s="18">
        <v>171500</v>
      </c>
      <c r="C1107" s="14">
        <v>174500</v>
      </c>
      <c r="D1107" s="14">
        <v>175000</v>
      </c>
      <c r="E1107" s="14">
        <v>171000</v>
      </c>
      <c r="F1107" t="s">
        <v>966</v>
      </c>
      <c r="G1107" s="15">
        <v>-5.7999999999999996E-3</v>
      </c>
    </row>
    <row r="1108" spans="1:7" x14ac:dyDescent="0.15">
      <c r="A1108" s="86">
        <v>44733</v>
      </c>
      <c r="B1108" s="18">
        <v>172500</v>
      </c>
      <c r="C1108" s="14">
        <v>171500</v>
      </c>
      <c r="D1108" s="14">
        <v>175000</v>
      </c>
      <c r="E1108" s="14">
        <v>170000</v>
      </c>
      <c r="F1108" t="s">
        <v>967</v>
      </c>
      <c r="G1108" s="15">
        <v>1.17E-2</v>
      </c>
    </row>
    <row r="1109" spans="1:7" x14ac:dyDescent="0.15">
      <c r="A1109" s="86">
        <v>44732</v>
      </c>
      <c r="B1109" s="18">
        <v>170500</v>
      </c>
      <c r="C1109" s="14">
        <v>172500</v>
      </c>
      <c r="D1109" s="14">
        <v>173000</v>
      </c>
      <c r="E1109" s="14">
        <v>168500</v>
      </c>
      <c r="F1109" t="s">
        <v>968</v>
      </c>
      <c r="G1109" s="15">
        <v>2.8999999999999998E-3</v>
      </c>
    </row>
    <row r="1110" spans="1:7" x14ac:dyDescent="0.15">
      <c r="A1110" s="86">
        <v>44731</v>
      </c>
      <c r="B1110" s="18">
        <v>170000</v>
      </c>
      <c r="C1110" s="14">
        <v>170000</v>
      </c>
      <c r="D1110" s="14">
        <v>170000</v>
      </c>
      <c r="E1110" s="14">
        <v>170000</v>
      </c>
      <c r="G1110" s="15">
        <v>0</v>
      </c>
    </row>
    <row r="1111" spans="1:7" x14ac:dyDescent="0.15">
      <c r="A1111" s="86">
        <v>44729</v>
      </c>
      <c r="B1111" s="18">
        <v>170000</v>
      </c>
      <c r="C1111" s="14">
        <v>168000</v>
      </c>
      <c r="D1111" s="14">
        <v>172000</v>
      </c>
      <c r="E1111" s="14">
        <v>168000</v>
      </c>
      <c r="F1111" t="s">
        <v>969</v>
      </c>
      <c r="G1111" s="15">
        <v>-1.7299999999999999E-2</v>
      </c>
    </row>
    <row r="1112" spans="1:7" x14ac:dyDescent="0.15">
      <c r="A1112" s="86">
        <v>44728</v>
      </c>
      <c r="B1112" s="18">
        <v>173000</v>
      </c>
      <c r="C1112" s="14">
        <v>177000</v>
      </c>
      <c r="D1112" s="14">
        <v>177500</v>
      </c>
      <c r="E1112" s="14">
        <v>172500</v>
      </c>
      <c r="F1112" t="s">
        <v>970</v>
      </c>
      <c r="G1112" s="15">
        <v>-5.7000000000000002E-3</v>
      </c>
    </row>
    <row r="1113" spans="1:7" x14ac:dyDescent="0.15">
      <c r="A1113" s="86">
        <v>44727</v>
      </c>
      <c r="B1113" s="18">
        <v>174000</v>
      </c>
      <c r="C1113" s="14">
        <v>173500</v>
      </c>
      <c r="D1113" s="14">
        <v>179000</v>
      </c>
      <c r="E1113" s="14">
        <v>171500</v>
      </c>
      <c r="F1113" t="s">
        <v>971</v>
      </c>
      <c r="G1113" s="15">
        <v>1.46E-2</v>
      </c>
    </row>
    <row r="1114" spans="1:7" x14ac:dyDescent="0.15">
      <c r="A1114" s="86">
        <v>44726</v>
      </c>
      <c r="B1114" s="18">
        <v>171500</v>
      </c>
      <c r="C1114" s="14">
        <v>171500</v>
      </c>
      <c r="D1114" s="14">
        <v>172500</v>
      </c>
      <c r="E1114" s="14">
        <v>169000</v>
      </c>
      <c r="F1114" t="s">
        <v>315</v>
      </c>
      <c r="G1114" s="15">
        <v>-0.02</v>
      </c>
    </row>
    <row r="1115" spans="1:7" x14ac:dyDescent="0.15">
      <c r="A1115" s="86">
        <v>44725</v>
      </c>
      <c r="B1115" s="18">
        <v>175000</v>
      </c>
      <c r="C1115" s="14">
        <v>180000</v>
      </c>
      <c r="D1115" s="14">
        <v>181500</v>
      </c>
      <c r="E1115" s="14">
        <v>173000</v>
      </c>
      <c r="F1115" t="s">
        <v>114</v>
      </c>
      <c r="G1115" s="15">
        <v>-5.1499999999999997E-2</v>
      </c>
    </row>
    <row r="1116" spans="1:7" x14ac:dyDescent="0.15">
      <c r="A1116" s="86">
        <v>44724</v>
      </c>
      <c r="B1116" s="18">
        <v>184500</v>
      </c>
      <c r="C1116" s="14">
        <v>184500</v>
      </c>
      <c r="D1116" s="14">
        <v>184500</v>
      </c>
      <c r="E1116" s="14">
        <v>184500</v>
      </c>
      <c r="G1116" s="15">
        <v>0</v>
      </c>
    </row>
    <row r="1117" spans="1:7" x14ac:dyDescent="0.15">
      <c r="A1117" s="86">
        <v>44722</v>
      </c>
      <c r="B1117" s="18">
        <v>184500</v>
      </c>
      <c r="C1117" s="14">
        <v>181500</v>
      </c>
      <c r="D1117" s="14">
        <v>185000</v>
      </c>
      <c r="E1117" s="14">
        <v>180500</v>
      </c>
      <c r="F1117" t="s">
        <v>972</v>
      </c>
      <c r="G1117" s="15">
        <v>1.0999999999999999E-2</v>
      </c>
    </row>
    <row r="1118" spans="1:7" x14ac:dyDescent="0.15">
      <c r="A1118" s="86">
        <v>44721</v>
      </c>
      <c r="B1118" s="18">
        <v>182500</v>
      </c>
      <c r="C1118" s="14">
        <v>183000</v>
      </c>
      <c r="D1118" s="14">
        <v>183500</v>
      </c>
      <c r="E1118" s="14">
        <v>180500</v>
      </c>
      <c r="F1118" t="s">
        <v>973</v>
      </c>
      <c r="G1118" s="15">
        <v>-2.7000000000000001E-3</v>
      </c>
    </row>
    <row r="1119" spans="1:7" x14ac:dyDescent="0.15">
      <c r="A1119" s="86">
        <v>44720</v>
      </c>
      <c r="B1119" s="18">
        <v>183000</v>
      </c>
      <c r="C1119" s="14">
        <v>183500</v>
      </c>
      <c r="D1119" s="14">
        <v>185000</v>
      </c>
      <c r="E1119" s="14">
        <v>182000</v>
      </c>
      <c r="F1119" t="s">
        <v>974</v>
      </c>
      <c r="G1119" s="15">
        <v>-2.7000000000000001E-3</v>
      </c>
    </row>
    <row r="1120" spans="1:7" x14ac:dyDescent="0.15">
      <c r="A1120" s="86">
        <v>44719</v>
      </c>
      <c r="B1120" s="18">
        <v>183500</v>
      </c>
      <c r="C1120" s="14">
        <v>186000</v>
      </c>
      <c r="D1120" s="14">
        <v>186500</v>
      </c>
      <c r="E1120" s="14">
        <v>183000</v>
      </c>
      <c r="F1120" t="s">
        <v>975</v>
      </c>
      <c r="G1120" s="15">
        <v>-1.8700000000000001E-2</v>
      </c>
    </row>
    <row r="1121" spans="1:7" x14ac:dyDescent="0.15">
      <c r="A1121" s="86">
        <v>44718</v>
      </c>
      <c r="B1121" s="18">
        <v>187000</v>
      </c>
      <c r="C1121" s="14">
        <v>187000</v>
      </c>
      <c r="D1121" s="14">
        <v>187000</v>
      </c>
      <c r="E1121" s="14">
        <v>187000</v>
      </c>
      <c r="G1121" s="15">
        <v>0</v>
      </c>
    </row>
    <row r="1122" spans="1:7" x14ac:dyDescent="0.15">
      <c r="A1122" s="86">
        <v>44715</v>
      </c>
      <c r="B1122" s="18">
        <v>187000</v>
      </c>
      <c r="C1122" s="14">
        <v>188500</v>
      </c>
      <c r="D1122" s="14">
        <v>189000</v>
      </c>
      <c r="E1122" s="14">
        <v>185000</v>
      </c>
      <c r="F1122" t="s">
        <v>976</v>
      </c>
      <c r="G1122" s="15">
        <v>-2.7000000000000001E-3</v>
      </c>
    </row>
    <row r="1123" spans="1:7" x14ac:dyDescent="0.15">
      <c r="A1123" s="86">
        <v>44714</v>
      </c>
      <c r="B1123" s="18">
        <v>187500</v>
      </c>
      <c r="C1123" s="14">
        <v>189000</v>
      </c>
      <c r="D1123" s="14">
        <v>189000</v>
      </c>
      <c r="E1123" s="14">
        <v>186500</v>
      </c>
      <c r="F1123" t="s">
        <v>977</v>
      </c>
      <c r="G1123" s="15">
        <v>-1.06E-2</v>
      </c>
    </row>
    <row r="1124" spans="1:7" x14ac:dyDescent="0.15">
      <c r="A1124" s="86">
        <v>44713</v>
      </c>
      <c r="B1124" s="18">
        <v>189500</v>
      </c>
      <c r="C1124" s="14">
        <v>189500</v>
      </c>
      <c r="D1124" s="14">
        <v>189500</v>
      </c>
      <c r="E1124" s="14">
        <v>189500</v>
      </c>
      <c r="G1124" s="15">
        <v>0</v>
      </c>
    </row>
    <row r="1125" spans="1:7" x14ac:dyDescent="0.15">
      <c r="A1125" s="86">
        <v>44712</v>
      </c>
      <c r="B1125" s="18">
        <v>189500</v>
      </c>
      <c r="C1125" s="14">
        <v>187000</v>
      </c>
      <c r="D1125" s="14">
        <v>189500</v>
      </c>
      <c r="E1125" s="14">
        <v>187000</v>
      </c>
      <c r="F1125" t="s">
        <v>978</v>
      </c>
      <c r="G1125" s="15">
        <v>1.0699999999999999E-2</v>
      </c>
    </row>
    <row r="1126" spans="1:7" x14ac:dyDescent="0.15">
      <c r="A1126" s="86">
        <v>44711</v>
      </c>
      <c r="B1126" s="18">
        <v>187500</v>
      </c>
      <c r="C1126" s="14">
        <v>187500</v>
      </c>
      <c r="D1126" s="14">
        <v>188000</v>
      </c>
      <c r="E1126" s="14">
        <v>185500</v>
      </c>
      <c r="F1126" t="s">
        <v>979</v>
      </c>
      <c r="G1126" s="15">
        <v>1.0800000000000001E-2</v>
      </c>
    </row>
    <row r="1127" spans="1:7" x14ac:dyDescent="0.15">
      <c r="A1127" s="86">
        <v>44708</v>
      </c>
      <c r="B1127" s="18">
        <v>185500</v>
      </c>
      <c r="C1127" s="14">
        <v>186500</v>
      </c>
      <c r="D1127" s="14">
        <v>186500</v>
      </c>
      <c r="E1127" s="14">
        <v>184500</v>
      </c>
      <c r="F1127" t="s">
        <v>980</v>
      </c>
      <c r="G1127" s="15">
        <v>8.2000000000000007E-3</v>
      </c>
    </row>
    <row r="1128" spans="1:7" x14ac:dyDescent="0.15">
      <c r="A1128" s="86">
        <v>44707</v>
      </c>
      <c r="B1128" s="18">
        <v>184000</v>
      </c>
      <c r="C1128" s="14">
        <v>183500</v>
      </c>
      <c r="D1128" s="14">
        <v>186000</v>
      </c>
      <c r="E1128" s="14">
        <v>183000</v>
      </c>
      <c r="F1128" t="s">
        <v>981</v>
      </c>
      <c r="G1128" s="15">
        <v>2.7000000000000001E-3</v>
      </c>
    </row>
    <row r="1129" spans="1:7" x14ac:dyDescent="0.15">
      <c r="A1129" s="86">
        <v>44706</v>
      </c>
      <c r="B1129" s="18">
        <v>183500</v>
      </c>
      <c r="C1129" s="14">
        <v>186000</v>
      </c>
      <c r="D1129" s="14">
        <v>186000</v>
      </c>
      <c r="E1129" s="14">
        <v>182000</v>
      </c>
      <c r="F1129" t="s">
        <v>982</v>
      </c>
      <c r="G1129" s="15">
        <v>-8.0999999999999996E-3</v>
      </c>
    </row>
    <row r="1130" spans="1:7" x14ac:dyDescent="0.15">
      <c r="A1130" s="86">
        <v>44705</v>
      </c>
      <c r="B1130" s="18">
        <v>185000</v>
      </c>
      <c r="C1130" s="14">
        <v>187000</v>
      </c>
      <c r="D1130" s="14">
        <v>188000</v>
      </c>
      <c r="E1130" s="14">
        <v>183500</v>
      </c>
      <c r="F1130" t="s">
        <v>983</v>
      </c>
      <c r="G1130" s="15">
        <v>-1.6E-2</v>
      </c>
    </row>
    <row r="1131" spans="1:7" x14ac:dyDescent="0.15">
      <c r="A1131" s="86">
        <v>44704</v>
      </c>
      <c r="B1131" s="18">
        <v>188000</v>
      </c>
      <c r="C1131" s="14">
        <v>188500</v>
      </c>
      <c r="D1131" s="14">
        <v>189000</v>
      </c>
      <c r="E1131" s="14">
        <v>186500</v>
      </c>
      <c r="F1131" t="s">
        <v>984</v>
      </c>
      <c r="G1131" s="15">
        <v>8.0000000000000002E-3</v>
      </c>
    </row>
    <row r="1132" spans="1:7" x14ac:dyDescent="0.15">
      <c r="A1132" s="86">
        <v>44701</v>
      </c>
      <c r="B1132" s="18">
        <v>186500</v>
      </c>
      <c r="C1132" s="14">
        <v>183500</v>
      </c>
      <c r="D1132" s="14">
        <v>186500</v>
      </c>
      <c r="E1132" s="14">
        <v>183000</v>
      </c>
      <c r="F1132" t="s">
        <v>985</v>
      </c>
      <c r="G1132" s="15">
        <v>2.47E-2</v>
      </c>
    </row>
    <row r="1133" spans="1:7" x14ac:dyDescent="0.15">
      <c r="A1133" s="86">
        <v>44700</v>
      </c>
      <c r="B1133" s="18">
        <v>182000</v>
      </c>
      <c r="C1133" s="14">
        <v>181500</v>
      </c>
      <c r="D1133" s="14">
        <v>183500</v>
      </c>
      <c r="E1133" s="14">
        <v>181000</v>
      </c>
      <c r="F1133" t="s">
        <v>986</v>
      </c>
      <c r="G1133" s="15">
        <v>-1.89E-2</v>
      </c>
    </row>
    <row r="1134" spans="1:7" x14ac:dyDescent="0.15">
      <c r="A1134" s="86">
        <v>44699</v>
      </c>
      <c r="B1134" s="18">
        <v>185500</v>
      </c>
      <c r="C1134" s="14">
        <v>187000</v>
      </c>
      <c r="D1134" s="14">
        <v>187500</v>
      </c>
      <c r="E1134" s="14">
        <v>183500</v>
      </c>
      <c r="F1134" t="s">
        <v>987</v>
      </c>
      <c r="G1134" s="15">
        <v>0</v>
      </c>
    </row>
    <row r="1135" spans="1:7" x14ac:dyDescent="0.15">
      <c r="A1135" s="86">
        <v>44698</v>
      </c>
      <c r="B1135" s="18">
        <v>185500</v>
      </c>
      <c r="C1135" s="14">
        <v>185500</v>
      </c>
      <c r="D1135" s="14">
        <v>186500</v>
      </c>
      <c r="E1135" s="14">
        <v>182500</v>
      </c>
      <c r="F1135" t="s">
        <v>988</v>
      </c>
      <c r="G1135" s="15">
        <v>8.2000000000000007E-3</v>
      </c>
    </row>
    <row r="1136" spans="1:7" x14ac:dyDescent="0.15">
      <c r="A1136" s="86">
        <v>44697</v>
      </c>
      <c r="B1136" s="18">
        <v>184000</v>
      </c>
      <c r="C1136" s="14">
        <v>188500</v>
      </c>
      <c r="D1136" s="14">
        <v>189500</v>
      </c>
      <c r="E1136" s="14">
        <v>183500</v>
      </c>
      <c r="F1136" t="s">
        <v>989</v>
      </c>
      <c r="G1136" s="15">
        <v>-1.34E-2</v>
      </c>
    </row>
    <row r="1137" spans="1:7" x14ac:dyDescent="0.15">
      <c r="A1137" s="86">
        <v>44696</v>
      </c>
      <c r="B1137" s="18">
        <v>186500</v>
      </c>
      <c r="C1137" s="14">
        <v>186500</v>
      </c>
      <c r="D1137" s="14">
        <v>186500</v>
      </c>
      <c r="E1137" s="14">
        <v>186500</v>
      </c>
      <c r="G1137" s="15">
        <v>0</v>
      </c>
    </row>
    <row r="1138" spans="1:7" x14ac:dyDescent="0.15">
      <c r="A1138" s="86">
        <v>44694</v>
      </c>
      <c r="B1138" s="18">
        <v>186500</v>
      </c>
      <c r="C1138" s="14">
        <v>182000</v>
      </c>
      <c r="D1138" s="14">
        <v>187000</v>
      </c>
      <c r="E1138" s="14">
        <v>181500</v>
      </c>
      <c r="F1138" t="s">
        <v>990</v>
      </c>
      <c r="G1138" s="15">
        <v>3.32E-2</v>
      </c>
    </row>
    <row r="1139" spans="1:7" x14ac:dyDescent="0.15">
      <c r="A1139" s="86">
        <v>44693</v>
      </c>
      <c r="B1139" s="18">
        <v>180500</v>
      </c>
      <c r="C1139" s="14">
        <v>181000</v>
      </c>
      <c r="D1139" s="14">
        <v>183500</v>
      </c>
      <c r="E1139" s="14">
        <v>180000</v>
      </c>
      <c r="F1139" t="s">
        <v>991</v>
      </c>
      <c r="G1139" s="15">
        <v>-1.37E-2</v>
      </c>
    </row>
    <row r="1140" spans="1:7" x14ac:dyDescent="0.15">
      <c r="A1140" s="86">
        <v>44692</v>
      </c>
      <c r="B1140" s="18">
        <v>183000</v>
      </c>
      <c r="C1140" s="14">
        <v>178500</v>
      </c>
      <c r="D1140" s="14">
        <v>184500</v>
      </c>
      <c r="E1140" s="14">
        <v>178000</v>
      </c>
      <c r="F1140" t="s">
        <v>992</v>
      </c>
      <c r="G1140" s="15">
        <v>1.3899999999999999E-2</v>
      </c>
    </row>
    <row r="1141" spans="1:7" x14ac:dyDescent="0.15">
      <c r="A1141" s="86">
        <v>44691</v>
      </c>
      <c r="B1141" s="18">
        <v>180500</v>
      </c>
      <c r="C1141" s="14">
        <v>180500</v>
      </c>
      <c r="D1141" s="14">
        <v>181500</v>
      </c>
      <c r="E1141" s="14">
        <v>176000</v>
      </c>
      <c r="F1141" t="s">
        <v>993</v>
      </c>
      <c r="G1141" s="15">
        <v>-5.4999999999999997E-3</v>
      </c>
    </row>
    <row r="1142" spans="1:7" x14ac:dyDescent="0.15">
      <c r="A1142" s="86">
        <v>44690</v>
      </c>
      <c r="B1142" s="18">
        <v>181500</v>
      </c>
      <c r="C1142" s="14">
        <v>182000</v>
      </c>
      <c r="D1142" s="14">
        <v>183500</v>
      </c>
      <c r="E1142" s="14">
        <v>180500</v>
      </c>
      <c r="F1142" t="s">
        <v>994</v>
      </c>
      <c r="G1142" s="15">
        <v>-5.4999999999999997E-3</v>
      </c>
    </row>
    <row r="1143" spans="1:7" x14ac:dyDescent="0.15">
      <c r="A1143" s="86">
        <v>44687</v>
      </c>
      <c r="B1143" s="18">
        <v>182500</v>
      </c>
      <c r="C1143" s="14">
        <v>181500</v>
      </c>
      <c r="D1143" s="14">
        <v>183500</v>
      </c>
      <c r="E1143" s="14">
        <v>181000</v>
      </c>
      <c r="F1143" t="s">
        <v>995</v>
      </c>
      <c r="G1143" s="15">
        <v>-8.2000000000000007E-3</v>
      </c>
    </row>
    <row r="1144" spans="1:7" x14ac:dyDescent="0.15">
      <c r="A1144" s="86">
        <v>44686</v>
      </c>
      <c r="B1144" s="18">
        <v>184000</v>
      </c>
      <c r="C1144" s="14">
        <v>184000</v>
      </c>
      <c r="D1144" s="14">
        <v>184000</v>
      </c>
      <c r="E1144" s="14">
        <v>184000</v>
      </c>
      <c r="G1144" s="15">
        <v>0</v>
      </c>
    </row>
    <row r="1145" spans="1:7" x14ac:dyDescent="0.15">
      <c r="A1145" s="86">
        <v>44685</v>
      </c>
      <c r="B1145" s="18">
        <v>184000</v>
      </c>
      <c r="C1145" s="14">
        <v>183500</v>
      </c>
      <c r="D1145" s="14">
        <v>184500</v>
      </c>
      <c r="E1145" s="14">
        <v>182000</v>
      </c>
      <c r="F1145" t="s">
        <v>996</v>
      </c>
      <c r="G1145" s="15">
        <v>2.7000000000000001E-3</v>
      </c>
    </row>
    <row r="1146" spans="1:7" x14ac:dyDescent="0.15">
      <c r="A1146" s="86">
        <v>44684</v>
      </c>
      <c r="B1146" s="18">
        <v>183500</v>
      </c>
      <c r="C1146" s="14">
        <v>185500</v>
      </c>
      <c r="D1146" s="14">
        <v>186500</v>
      </c>
      <c r="E1146" s="14">
        <v>182500</v>
      </c>
      <c r="F1146" t="s">
        <v>997</v>
      </c>
      <c r="G1146" s="15">
        <v>-1.8700000000000001E-2</v>
      </c>
    </row>
    <row r="1147" spans="1:7" x14ac:dyDescent="0.15">
      <c r="A1147" s="86">
        <v>44683</v>
      </c>
      <c r="B1147" s="18">
        <v>187000</v>
      </c>
      <c r="C1147" s="14">
        <v>184000</v>
      </c>
      <c r="D1147" s="14">
        <v>188000</v>
      </c>
      <c r="E1147" s="14">
        <v>184000</v>
      </c>
      <c r="F1147" t="s">
        <v>998</v>
      </c>
      <c r="G1147" s="15">
        <v>5.4000000000000003E-3</v>
      </c>
    </row>
    <row r="1148" spans="1:7" x14ac:dyDescent="0.15">
      <c r="A1148" s="86">
        <v>44682</v>
      </c>
      <c r="B1148" s="18">
        <v>186000</v>
      </c>
      <c r="C1148" s="14">
        <v>186000</v>
      </c>
      <c r="D1148" s="14">
        <v>186000</v>
      </c>
      <c r="E1148" s="14">
        <v>186000</v>
      </c>
      <c r="G1148" s="15">
        <v>0</v>
      </c>
    </row>
    <row r="1149" spans="1:7" x14ac:dyDescent="0.15">
      <c r="A1149" s="86">
        <v>44680</v>
      </c>
      <c r="B1149" s="18">
        <v>186000</v>
      </c>
      <c r="C1149" s="14">
        <v>187000</v>
      </c>
      <c r="D1149" s="14">
        <v>188000</v>
      </c>
      <c r="E1149" s="14">
        <v>184000</v>
      </c>
      <c r="F1149" t="s">
        <v>999</v>
      </c>
      <c r="G1149" s="15">
        <v>-1.3299999999999999E-2</v>
      </c>
    </row>
    <row r="1150" spans="1:7" x14ac:dyDescent="0.15">
      <c r="A1150" s="86">
        <v>44679</v>
      </c>
      <c r="B1150" s="18">
        <v>188500</v>
      </c>
      <c r="C1150" s="14">
        <v>188000</v>
      </c>
      <c r="D1150" s="14">
        <v>189000</v>
      </c>
      <c r="E1150" s="14">
        <v>186000</v>
      </c>
      <c r="F1150" t="s">
        <v>1000</v>
      </c>
      <c r="G1150" s="15">
        <v>8.0000000000000002E-3</v>
      </c>
    </row>
    <row r="1151" spans="1:7" x14ac:dyDescent="0.15">
      <c r="A1151" s="86">
        <v>44678</v>
      </c>
      <c r="B1151" s="18">
        <v>187000</v>
      </c>
      <c r="C1151" s="14">
        <v>184000</v>
      </c>
      <c r="D1151" s="14">
        <v>188500</v>
      </c>
      <c r="E1151" s="14">
        <v>183000</v>
      </c>
      <c r="F1151" t="s">
        <v>150</v>
      </c>
      <c r="G1151" s="15">
        <v>0</v>
      </c>
    </row>
    <row r="1152" spans="1:7" x14ac:dyDescent="0.15">
      <c r="A1152" s="86">
        <v>44677</v>
      </c>
      <c r="B1152" s="18">
        <v>187000</v>
      </c>
      <c r="C1152" s="14">
        <v>187000</v>
      </c>
      <c r="D1152" s="14">
        <v>191000</v>
      </c>
      <c r="E1152" s="14">
        <v>186500</v>
      </c>
      <c r="F1152" t="s">
        <v>1001</v>
      </c>
      <c r="G1152" s="15">
        <v>2.75E-2</v>
      </c>
    </row>
    <row r="1153" spans="1:7" x14ac:dyDescent="0.15">
      <c r="A1153" s="86">
        <v>44676</v>
      </c>
      <c r="B1153" s="18">
        <v>182000</v>
      </c>
      <c r="C1153" s="14">
        <v>177000</v>
      </c>
      <c r="D1153" s="14">
        <v>184500</v>
      </c>
      <c r="E1153" s="14">
        <v>176500</v>
      </c>
      <c r="F1153" t="s">
        <v>93</v>
      </c>
      <c r="G1153" s="15">
        <v>1.11E-2</v>
      </c>
    </row>
    <row r="1154" spans="1:7" x14ac:dyDescent="0.15">
      <c r="A1154" s="86">
        <v>44673</v>
      </c>
      <c r="B1154" s="18">
        <v>180000</v>
      </c>
      <c r="C1154" s="14">
        <v>181500</v>
      </c>
      <c r="D1154" s="14">
        <v>182500</v>
      </c>
      <c r="E1154" s="14">
        <v>179000</v>
      </c>
      <c r="F1154" t="s">
        <v>1002</v>
      </c>
      <c r="G1154" s="15">
        <v>-1.6400000000000001E-2</v>
      </c>
    </row>
    <row r="1155" spans="1:7" x14ac:dyDescent="0.15">
      <c r="A1155" s="86">
        <v>44672</v>
      </c>
      <c r="B1155" s="18">
        <v>183000</v>
      </c>
      <c r="C1155" s="14">
        <v>184000</v>
      </c>
      <c r="D1155" s="14">
        <v>184500</v>
      </c>
      <c r="E1155" s="14">
        <v>182500</v>
      </c>
      <c r="F1155" t="s">
        <v>1003</v>
      </c>
      <c r="G1155" s="15">
        <v>0</v>
      </c>
    </row>
    <row r="1156" spans="1:7" x14ac:dyDescent="0.15">
      <c r="A1156" s="86">
        <v>44671</v>
      </c>
      <c r="B1156" s="18">
        <v>183000</v>
      </c>
      <c r="C1156" s="14">
        <v>181000</v>
      </c>
      <c r="D1156" s="14">
        <v>184000</v>
      </c>
      <c r="E1156" s="14">
        <v>180000</v>
      </c>
      <c r="F1156" t="s">
        <v>1004</v>
      </c>
      <c r="G1156" s="15">
        <v>1.0999999999999999E-2</v>
      </c>
    </row>
    <row r="1157" spans="1:7" x14ac:dyDescent="0.15">
      <c r="A1157" s="86">
        <v>44670</v>
      </c>
      <c r="B1157" s="18">
        <v>181000</v>
      </c>
      <c r="C1157" s="14">
        <v>178500</v>
      </c>
      <c r="D1157" s="14">
        <v>181500</v>
      </c>
      <c r="E1157" s="14">
        <v>178000</v>
      </c>
      <c r="F1157" t="s">
        <v>1005</v>
      </c>
      <c r="G1157" s="15">
        <v>1.4E-2</v>
      </c>
    </row>
    <row r="1158" spans="1:7" x14ac:dyDescent="0.15">
      <c r="A1158" s="86">
        <v>44669</v>
      </c>
      <c r="B1158" s="18">
        <v>178500</v>
      </c>
      <c r="C1158" s="14">
        <v>176000</v>
      </c>
      <c r="D1158" s="14">
        <v>178500</v>
      </c>
      <c r="E1158" s="14">
        <v>175500</v>
      </c>
      <c r="F1158" t="s">
        <v>1006</v>
      </c>
      <c r="G1158" s="15">
        <v>8.5000000000000006E-3</v>
      </c>
    </row>
    <row r="1159" spans="1:7" x14ac:dyDescent="0.15">
      <c r="A1159" s="86">
        <v>44668</v>
      </c>
      <c r="B1159" s="18">
        <v>177000</v>
      </c>
      <c r="C1159" s="14">
        <v>177000</v>
      </c>
      <c r="D1159" s="14">
        <v>177000</v>
      </c>
      <c r="E1159" s="14">
        <v>177000</v>
      </c>
      <c r="G1159" s="15">
        <v>0</v>
      </c>
    </row>
    <row r="1160" spans="1:7" x14ac:dyDescent="0.15">
      <c r="A1160" s="86">
        <v>44666</v>
      </c>
      <c r="B1160" s="18">
        <v>177000</v>
      </c>
      <c r="C1160" s="14">
        <v>176500</v>
      </c>
      <c r="D1160" s="14">
        <v>178000</v>
      </c>
      <c r="E1160" s="14">
        <v>175500</v>
      </c>
      <c r="F1160" t="s">
        <v>1007</v>
      </c>
      <c r="G1160" s="15">
        <v>-2.8E-3</v>
      </c>
    </row>
    <row r="1161" spans="1:7" x14ac:dyDescent="0.15">
      <c r="A1161" s="86">
        <v>44665</v>
      </c>
      <c r="B1161" s="18">
        <v>177500</v>
      </c>
      <c r="C1161" s="14">
        <v>181000</v>
      </c>
      <c r="D1161" s="14">
        <v>182000</v>
      </c>
      <c r="E1161" s="14">
        <v>176500</v>
      </c>
      <c r="F1161" t="s">
        <v>1008</v>
      </c>
      <c r="G1161" s="15">
        <v>-1.9300000000000001E-2</v>
      </c>
    </row>
    <row r="1162" spans="1:7" x14ac:dyDescent="0.15">
      <c r="A1162" s="86">
        <v>44664</v>
      </c>
      <c r="B1162" s="18">
        <v>181000</v>
      </c>
      <c r="C1162" s="14">
        <v>179500</v>
      </c>
      <c r="D1162" s="14">
        <v>181000</v>
      </c>
      <c r="E1162" s="14">
        <v>178500</v>
      </c>
      <c r="F1162" t="s">
        <v>1009</v>
      </c>
      <c r="G1162" s="15">
        <v>1.6899999999999998E-2</v>
      </c>
    </row>
    <row r="1163" spans="1:7" x14ac:dyDescent="0.15">
      <c r="A1163" s="86">
        <v>44663</v>
      </c>
      <c r="B1163" s="18">
        <v>178000</v>
      </c>
      <c r="C1163" s="14">
        <v>179000</v>
      </c>
      <c r="D1163" s="14">
        <v>180500</v>
      </c>
      <c r="E1163" s="14">
        <v>176500</v>
      </c>
      <c r="F1163" t="s">
        <v>1010</v>
      </c>
      <c r="G1163" s="15">
        <v>-8.3999999999999995E-3</v>
      </c>
    </row>
    <row r="1164" spans="1:7" x14ac:dyDescent="0.15">
      <c r="A1164" s="86">
        <v>44662</v>
      </c>
      <c r="B1164" s="18">
        <v>179500</v>
      </c>
      <c r="C1164" s="14">
        <v>176000</v>
      </c>
      <c r="D1164" s="14">
        <v>181000</v>
      </c>
      <c r="E1164" s="14">
        <v>175500</v>
      </c>
      <c r="F1164" t="s">
        <v>1011</v>
      </c>
      <c r="G1164" s="15">
        <v>1.7000000000000001E-2</v>
      </c>
    </row>
    <row r="1165" spans="1:7" x14ac:dyDescent="0.15">
      <c r="A1165" s="86">
        <v>44661</v>
      </c>
      <c r="B1165" s="18">
        <v>176500</v>
      </c>
      <c r="C1165" s="14">
        <v>176500</v>
      </c>
      <c r="D1165" s="14">
        <v>176500</v>
      </c>
      <c r="E1165" s="14">
        <v>176500</v>
      </c>
      <c r="G1165" s="15">
        <v>0</v>
      </c>
    </row>
    <row r="1166" spans="1:7" x14ac:dyDescent="0.15">
      <c r="A1166" s="86">
        <v>44659</v>
      </c>
      <c r="B1166" s="18">
        <v>176500</v>
      </c>
      <c r="C1166" s="14">
        <v>178000</v>
      </c>
      <c r="D1166" s="14">
        <v>179000</v>
      </c>
      <c r="E1166" s="14">
        <v>175500</v>
      </c>
      <c r="F1166" t="s">
        <v>1012</v>
      </c>
      <c r="G1166" s="15">
        <v>-1.12E-2</v>
      </c>
    </row>
    <row r="1167" spans="1:7" x14ac:dyDescent="0.15">
      <c r="A1167" s="86">
        <v>44658</v>
      </c>
      <c r="B1167" s="18">
        <v>178500</v>
      </c>
      <c r="C1167" s="14">
        <v>180000</v>
      </c>
      <c r="D1167" s="14">
        <v>182000</v>
      </c>
      <c r="E1167" s="14">
        <v>178500</v>
      </c>
      <c r="F1167" t="s">
        <v>1013</v>
      </c>
      <c r="G1167" s="15">
        <v>-8.3000000000000001E-3</v>
      </c>
    </row>
    <row r="1168" spans="1:7" x14ac:dyDescent="0.15">
      <c r="A1168" s="86">
        <v>44657</v>
      </c>
      <c r="B1168" s="18">
        <v>180000</v>
      </c>
      <c r="C1168" s="14">
        <v>177000</v>
      </c>
      <c r="D1168" s="14">
        <v>182000</v>
      </c>
      <c r="E1168" s="14">
        <v>176500</v>
      </c>
      <c r="F1168" t="s">
        <v>1014</v>
      </c>
      <c r="G1168" s="15">
        <v>5.5999999999999999E-3</v>
      </c>
    </row>
    <row r="1169" spans="1:7" x14ac:dyDescent="0.15">
      <c r="A1169" s="86">
        <v>44656</v>
      </c>
      <c r="B1169" s="18">
        <v>179000</v>
      </c>
      <c r="C1169" s="14">
        <v>178500</v>
      </c>
      <c r="D1169" s="14">
        <v>180000</v>
      </c>
      <c r="E1169" s="14">
        <v>177000</v>
      </c>
      <c r="F1169" t="s">
        <v>1015</v>
      </c>
      <c r="G1169" s="15">
        <v>5.5999999999999999E-3</v>
      </c>
    </row>
    <row r="1170" spans="1:7" x14ac:dyDescent="0.15">
      <c r="A1170" s="86">
        <v>44655</v>
      </c>
      <c r="B1170" s="18">
        <v>178000</v>
      </c>
      <c r="C1170" s="14">
        <v>177000</v>
      </c>
      <c r="D1170" s="14">
        <v>179000</v>
      </c>
      <c r="E1170" s="14">
        <v>174500</v>
      </c>
      <c r="F1170" t="s">
        <v>1016</v>
      </c>
      <c r="G1170" s="15">
        <v>0</v>
      </c>
    </row>
    <row r="1171" spans="1:7" x14ac:dyDescent="0.15">
      <c r="A1171" s="86">
        <v>44654</v>
      </c>
      <c r="B1171" s="18">
        <v>178000</v>
      </c>
      <c r="C1171" s="14">
        <v>178000</v>
      </c>
      <c r="D1171" s="14">
        <v>178000</v>
      </c>
      <c r="E1171" s="14">
        <v>178000</v>
      </c>
      <c r="G1171" s="15">
        <v>0</v>
      </c>
    </row>
    <row r="1172" spans="1:7" x14ac:dyDescent="0.15">
      <c r="A1172" s="86">
        <v>44652</v>
      </c>
      <c r="B1172" s="18">
        <v>178000</v>
      </c>
      <c r="C1172" s="14">
        <v>178000</v>
      </c>
      <c r="D1172" s="14">
        <v>178500</v>
      </c>
      <c r="E1172" s="14">
        <v>177000</v>
      </c>
      <c r="F1172" t="s">
        <v>1017</v>
      </c>
      <c r="G1172" s="15">
        <v>-1.3899999999999999E-2</v>
      </c>
    </row>
    <row r="1173" spans="1:7" x14ac:dyDescent="0.15">
      <c r="A1173" s="86">
        <v>44651</v>
      </c>
      <c r="B1173" s="18">
        <v>180500</v>
      </c>
      <c r="C1173" s="14">
        <v>180500</v>
      </c>
      <c r="D1173" s="14">
        <v>181000</v>
      </c>
      <c r="E1173" s="14">
        <v>179000</v>
      </c>
      <c r="F1173" t="s">
        <v>1018</v>
      </c>
      <c r="G1173" s="15">
        <v>-2.8E-3</v>
      </c>
    </row>
    <row r="1174" spans="1:7" x14ac:dyDescent="0.15">
      <c r="A1174" s="86">
        <v>44650</v>
      </c>
      <c r="B1174" s="18">
        <v>181000</v>
      </c>
      <c r="C1174" s="14">
        <v>180000</v>
      </c>
      <c r="D1174" s="14">
        <v>183000</v>
      </c>
      <c r="E1174" s="14">
        <v>179500</v>
      </c>
      <c r="F1174" t="s">
        <v>91</v>
      </c>
      <c r="G1174" s="15">
        <v>2.5499999999999998E-2</v>
      </c>
    </row>
    <row r="1175" spans="1:7" x14ac:dyDescent="0.15">
      <c r="A1175" s="86">
        <v>44649</v>
      </c>
      <c r="B1175" s="18">
        <v>176500</v>
      </c>
      <c r="C1175" s="14">
        <v>176000</v>
      </c>
      <c r="D1175" s="14">
        <v>178000</v>
      </c>
      <c r="E1175" s="14">
        <v>174000</v>
      </c>
      <c r="F1175" t="s">
        <v>1019</v>
      </c>
      <c r="G1175" s="15">
        <v>1.15E-2</v>
      </c>
    </row>
    <row r="1176" spans="1:7" x14ac:dyDescent="0.15">
      <c r="A1176" s="86">
        <v>44648</v>
      </c>
      <c r="B1176" s="18">
        <v>174500</v>
      </c>
      <c r="C1176" s="14">
        <v>172000</v>
      </c>
      <c r="D1176" s="14">
        <v>175500</v>
      </c>
      <c r="E1176" s="14">
        <v>171000</v>
      </c>
      <c r="F1176" t="s">
        <v>1020</v>
      </c>
      <c r="G1176" s="15">
        <v>2.8999999999999998E-3</v>
      </c>
    </row>
    <row r="1177" spans="1:7" x14ac:dyDescent="0.15">
      <c r="A1177" s="86">
        <v>44647</v>
      </c>
      <c r="B1177" s="18">
        <v>174000</v>
      </c>
      <c r="C1177" s="14">
        <v>174000</v>
      </c>
      <c r="D1177" s="14">
        <v>174000</v>
      </c>
      <c r="E1177" s="14">
        <v>174000</v>
      </c>
      <c r="G1177" s="15">
        <v>0</v>
      </c>
    </row>
    <row r="1178" spans="1:7" x14ac:dyDescent="0.15">
      <c r="A1178" s="86">
        <v>44645</v>
      </c>
      <c r="B1178" s="18">
        <v>174000</v>
      </c>
      <c r="C1178" s="14">
        <v>176500</v>
      </c>
      <c r="D1178" s="14">
        <v>176500</v>
      </c>
      <c r="E1178" s="14">
        <v>173000</v>
      </c>
      <c r="F1178" t="s">
        <v>1021</v>
      </c>
      <c r="G1178" s="15">
        <v>-1.14E-2</v>
      </c>
    </row>
    <row r="1179" spans="1:7" x14ac:dyDescent="0.15">
      <c r="A1179" s="86">
        <v>44644</v>
      </c>
      <c r="B1179" s="18">
        <v>176000</v>
      </c>
      <c r="C1179" s="14">
        <v>174000</v>
      </c>
      <c r="D1179" s="14">
        <v>177000</v>
      </c>
      <c r="E1179" s="14">
        <v>173500</v>
      </c>
      <c r="F1179" t="s">
        <v>1022</v>
      </c>
      <c r="G1179" s="15">
        <v>0</v>
      </c>
    </row>
    <row r="1180" spans="1:7" x14ac:dyDescent="0.15">
      <c r="A1180" s="86">
        <v>44643</v>
      </c>
      <c r="B1180" s="18">
        <v>176000</v>
      </c>
      <c r="C1180" s="14">
        <v>175000</v>
      </c>
      <c r="D1180" s="14">
        <v>177500</v>
      </c>
      <c r="E1180" s="14">
        <v>174000</v>
      </c>
      <c r="F1180" t="s">
        <v>1023</v>
      </c>
      <c r="G1180" s="15">
        <v>1.44E-2</v>
      </c>
    </row>
    <row r="1181" spans="1:7" x14ac:dyDescent="0.15">
      <c r="A1181" s="86">
        <v>44642</v>
      </c>
      <c r="B1181" s="18">
        <v>173500</v>
      </c>
      <c r="C1181" s="14">
        <v>169000</v>
      </c>
      <c r="D1181" s="14">
        <v>174500</v>
      </c>
      <c r="E1181" s="14">
        <v>169000</v>
      </c>
      <c r="F1181" t="s">
        <v>129</v>
      </c>
      <c r="G1181" s="15">
        <v>2.9700000000000001E-2</v>
      </c>
    </row>
    <row r="1182" spans="1:7" x14ac:dyDescent="0.15">
      <c r="A1182" s="86">
        <v>44641</v>
      </c>
      <c r="B1182" s="18">
        <v>168500</v>
      </c>
      <c r="C1182" s="14">
        <v>171500</v>
      </c>
      <c r="D1182" s="14">
        <v>172000</v>
      </c>
      <c r="E1182" s="14">
        <v>168500</v>
      </c>
      <c r="F1182" t="s">
        <v>1024</v>
      </c>
      <c r="G1182" s="15">
        <v>-1.46E-2</v>
      </c>
    </row>
    <row r="1183" spans="1:7" x14ac:dyDescent="0.15">
      <c r="A1183" s="86">
        <v>44640</v>
      </c>
      <c r="B1183" s="18">
        <v>171000</v>
      </c>
      <c r="C1183" s="14">
        <v>171000</v>
      </c>
      <c r="D1183" s="14">
        <v>171000</v>
      </c>
      <c r="E1183" s="14">
        <v>171000</v>
      </c>
      <c r="G1183" s="15">
        <v>0</v>
      </c>
    </row>
    <row r="1184" spans="1:7" x14ac:dyDescent="0.15">
      <c r="A1184" s="86">
        <v>44638</v>
      </c>
      <c r="B1184" s="18">
        <v>171000</v>
      </c>
      <c r="C1184" s="14">
        <v>171500</v>
      </c>
      <c r="D1184" s="14">
        <v>171500</v>
      </c>
      <c r="E1184" s="14">
        <v>169500</v>
      </c>
      <c r="F1184" t="s">
        <v>1025</v>
      </c>
      <c r="G1184" s="15">
        <v>1.4800000000000001E-2</v>
      </c>
    </row>
    <row r="1185" spans="1:7" x14ac:dyDescent="0.15">
      <c r="A1185" s="86">
        <v>44637</v>
      </c>
      <c r="B1185" s="18">
        <v>168500</v>
      </c>
      <c r="C1185" s="14">
        <v>172500</v>
      </c>
      <c r="D1185" s="14">
        <v>173000</v>
      </c>
      <c r="E1185" s="14">
        <v>168500</v>
      </c>
      <c r="F1185" t="s">
        <v>1026</v>
      </c>
      <c r="G1185" s="15">
        <v>3.0000000000000001E-3</v>
      </c>
    </row>
    <row r="1186" spans="1:7" x14ac:dyDescent="0.15">
      <c r="A1186" s="86">
        <v>44636</v>
      </c>
      <c r="B1186" s="18">
        <v>168000</v>
      </c>
      <c r="C1186" s="14">
        <v>165000</v>
      </c>
      <c r="D1186" s="14">
        <v>168500</v>
      </c>
      <c r="E1186" s="14">
        <v>163000</v>
      </c>
      <c r="F1186" t="s">
        <v>1027</v>
      </c>
      <c r="G1186" s="15">
        <v>3.0700000000000002E-2</v>
      </c>
    </row>
    <row r="1187" spans="1:7" x14ac:dyDescent="0.15">
      <c r="A1187" s="86">
        <v>44635</v>
      </c>
      <c r="B1187" s="18">
        <v>163000</v>
      </c>
      <c r="C1187" s="14">
        <v>164000</v>
      </c>
      <c r="D1187" s="14">
        <v>165500</v>
      </c>
      <c r="E1187" s="14">
        <v>162000</v>
      </c>
      <c r="F1187" t="s">
        <v>1028</v>
      </c>
      <c r="G1187" s="15">
        <v>-9.1000000000000004E-3</v>
      </c>
    </row>
    <row r="1188" spans="1:7" x14ac:dyDescent="0.15">
      <c r="A1188" s="86">
        <v>44634</v>
      </c>
      <c r="B1188" s="18">
        <v>164500</v>
      </c>
      <c r="C1188" s="14">
        <v>166500</v>
      </c>
      <c r="D1188" s="14">
        <v>167500</v>
      </c>
      <c r="E1188" s="14">
        <v>163000</v>
      </c>
      <c r="F1188" t="s">
        <v>315</v>
      </c>
      <c r="G1188" s="15">
        <v>-2.6599999999999999E-2</v>
      </c>
    </row>
    <row r="1189" spans="1:7" x14ac:dyDescent="0.15">
      <c r="A1189" s="86">
        <v>44633</v>
      </c>
      <c r="B1189" s="18">
        <v>169000</v>
      </c>
      <c r="C1189" s="14">
        <v>169000</v>
      </c>
      <c r="D1189" s="14">
        <v>169000</v>
      </c>
      <c r="E1189" s="14">
        <v>169000</v>
      </c>
      <c r="G1189" s="15">
        <v>0</v>
      </c>
    </row>
    <row r="1190" spans="1:7" x14ac:dyDescent="0.15">
      <c r="A1190" s="86">
        <v>44631</v>
      </c>
      <c r="B1190" s="18">
        <v>169000</v>
      </c>
      <c r="C1190" s="14">
        <v>169000</v>
      </c>
      <c r="D1190" s="14">
        <v>169500</v>
      </c>
      <c r="E1190" s="14">
        <v>165500</v>
      </c>
      <c r="F1190" t="s">
        <v>1029</v>
      </c>
      <c r="G1190" s="15">
        <v>0</v>
      </c>
    </row>
    <row r="1191" spans="1:7" x14ac:dyDescent="0.15">
      <c r="A1191" s="86">
        <v>44630</v>
      </c>
      <c r="B1191" s="18">
        <v>169000</v>
      </c>
      <c r="C1191" s="14">
        <v>171500</v>
      </c>
      <c r="D1191" s="14">
        <v>172000</v>
      </c>
      <c r="E1191" s="14">
        <v>167500</v>
      </c>
      <c r="F1191" t="s">
        <v>91</v>
      </c>
      <c r="G1191" s="15">
        <v>6.0000000000000001E-3</v>
      </c>
    </row>
    <row r="1192" spans="1:7" x14ac:dyDescent="0.15">
      <c r="A1192" s="86">
        <v>44629</v>
      </c>
      <c r="B1192" s="18">
        <v>168000</v>
      </c>
      <c r="C1192" s="14">
        <v>168000</v>
      </c>
      <c r="D1192" s="14">
        <v>168000</v>
      </c>
      <c r="E1192" s="14">
        <v>168000</v>
      </c>
      <c r="G1192" s="15">
        <v>0</v>
      </c>
    </row>
    <row r="1193" spans="1:7" x14ac:dyDescent="0.15">
      <c r="A1193" s="86">
        <v>44628</v>
      </c>
      <c r="B1193" s="18">
        <v>168000</v>
      </c>
      <c r="C1193" s="14">
        <v>164000</v>
      </c>
      <c r="D1193" s="14">
        <v>170500</v>
      </c>
      <c r="E1193" s="14">
        <v>163500</v>
      </c>
      <c r="F1193" t="s">
        <v>1030</v>
      </c>
      <c r="G1193" s="15">
        <v>0</v>
      </c>
    </row>
    <row r="1194" spans="1:7" x14ac:dyDescent="0.15">
      <c r="A1194" s="86">
        <v>44627</v>
      </c>
      <c r="B1194" s="18">
        <v>168000</v>
      </c>
      <c r="C1194" s="14">
        <v>170000</v>
      </c>
      <c r="D1194" s="14">
        <v>171000</v>
      </c>
      <c r="E1194" s="14">
        <v>165500</v>
      </c>
      <c r="F1194" t="s">
        <v>135</v>
      </c>
      <c r="G1194" s="15">
        <v>-2.6100000000000002E-2</v>
      </c>
    </row>
    <row r="1195" spans="1:7" x14ac:dyDescent="0.15">
      <c r="A1195" s="86">
        <v>44626</v>
      </c>
      <c r="B1195" s="18">
        <v>172500</v>
      </c>
      <c r="C1195" s="14">
        <v>172500</v>
      </c>
      <c r="D1195" s="14">
        <v>172500</v>
      </c>
      <c r="E1195" s="14">
        <v>172500</v>
      </c>
      <c r="G1195" s="15">
        <v>0</v>
      </c>
    </row>
    <row r="1196" spans="1:7" x14ac:dyDescent="0.15">
      <c r="A1196" s="86">
        <v>44624</v>
      </c>
      <c r="B1196" s="18">
        <v>172500</v>
      </c>
      <c r="C1196" s="14">
        <v>176500</v>
      </c>
      <c r="D1196" s="14">
        <v>177500</v>
      </c>
      <c r="E1196" s="14">
        <v>172500</v>
      </c>
      <c r="F1196" t="s">
        <v>1031</v>
      </c>
      <c r="G1196" s="15">
        <v>-2.8199999999999999E-2</v>
      </c>
    </row>
    <row r="1197" spans="1:7" x14ac:dyDescent="0.15">
      <c r="A1197" s="86">
        <v>44623</v>
      </c>
      <c r="B1197" s="18">
        <v>177500</v>
      </c>
      <c r="C1197" s="14">
        <v>173500</v>
      </c>
      <c r="D1197" s="14">
        <v>179000</v>
      </c>
      <c r="E1197" s="14">
        <v>173000</v>
      </c>
      <c r="F1197" t="s">
        <v>116</v>
      </c>
      <c r="G1197" s="15">
        <v>4.1099999999999998E-2</v>
      </c>
    </row>
    <row r="1198" spans="1:7" x14ac:dyDescent="0.15">
      <c r="A1198" s="86">
        <v>44622</v>
      </c>
      <c r="B1198" s="18">
        <v>170500</v>
      </c>
      <c r="C1198" s="14">
        <v>171500</v>
      </c>
      <c r="D1198" s="14">
        <v>172500</v>
      </c>
      <c r="E1198" s="14">
        <v>169500</v>
      </c>
      <c r="F1198" t="s">
        <v>886</v>
      </c>
      <c r="G1198" s="15">
        <v>-2.5700000000000001E-2</v>
      </c>
    </row>
    <row r="1199" spans="1:7" x14ac:dyDescent="0.15">
      <c r="A1199" s="86">
        <v>44621</v>
      </c>
      <c r="B1199" s="18">
        <v>175000</v>
      </c>
      <c r="C1199" s="14">
        <v>175000</v>
      </c>
      <c r="D1199" s="14">
        <v>175000</v>
      </c>
      <c r="E1199" s="14">
        <v>175000</v>
      </c>
      <c r="G1199" s="15">
        <v>0</v>
      </c>
    </row>
    <row r="1200" spans="1:7" x14ac:dyDescent="0.15">
      <c r="A1200" s="86">
        <v>44620</v>
      </c>
      <c r="B1200" s="18">
        <v>175000</v>
      </c>
      <c r="C1200" s="14">
        <v>171000</v>
      </c>
      <c r="D1200" s="14">
        <v>175000</v>
      </c>
      <c r="E1200" s="14">
        <v>168000</v>
      </c>
      <c r="F1200" t="s">
        <v>154</v>
      </c>
      <c r="G1200" s="15">
        <v>5.7000000000000002E-3</v>
      </c>
    </row>
    <row r="1201" spans="1:7" x14ac:dyDescent="0.15">
      <c r="A1201" s="86">
        <v>44619</v>
      </c>
      <c r="B1201" s="18">
        <v>174000</v>
      </c>
      <c r="C1201" s="14">
        <v>174000</v>
      </c>
      <c r="D1201" s="14">
        <v>174000</v>
      </c>
      <c r="E1201" s="14">
        <v>174000</v>
      </c>
      <c r="G1201" s="15">
        <v>0</v>
      </c>
    </row>
    <row r="1202" spans="1:7" x14ac:dyDescent="0.15">
      <c r="A1202" s="86">
        <v>44617</v>
      </c>
      <c r="B1202" s="18">
        <v>174000</v>
      </c>
      <c r="C1202" s="14">
        <v>175000</v>
      </c>
      <c r="D1202" s="14">
        <v>175500</v>
      </c>
      <c r="E1202" s="14">
        <v>171500</v>
      </c>
      <c r="F1202" t="s">
        <v>1032</v>
      </c>
      <c r="G1202" s="15">
        <v>5.7999999999999996E-3</v>
      </c>
    </row>
    <row r="1203" spans="1:7" x14ac:dyDescent="0.15">
      <c r="A1203" s="86">
        <v>44616</v>
      </c>
      <c r="B1203" s="18">
        <v>173000</v>
      </c>
      <c r="C1203" s="14">
        <v>178500</v>
      </c>
      <c r="D1203" s="14">
        <v>179000</v>
      </c>
      <c r="E1203" s="14">
        <v>171000</v>
      </c>
      <c r="F1203" t="s">
        <v>148</v>
      </c>
      <c r="G1203" s="15">
        <v>-4.1599999999999998E-2</v>
      </c>
    </row>
    <row r="1204" spans="1:7" x14ac:dyDescent="0.15">
      <c r="A1204" s="86">
        <v>44615</v>
      </c>
      <c r="B1204" s="18">
        <v>180500</v>
      </c>
      <c r="C1204" s="14">
        <v>182500</v>
      </c>
      <c r="D1204" s="14">
        <v>183000</v>
      </c>
      <c r="E1204" s="14">
        <v>179500</v>
      </c>
      <c r="F1204" t="s">
        <v>1033</v>
      </c>
      <c r="G1204" s="15">
        <v>-5.4999999999999997E-3</v>
      </c>
    </row>
    <row r="1205" spans="1:7" x14ac:dyDescent="0.15">
      <c r="A1205" s="86">
        <v>44614</v>
      </c>
      <c r="B1205" s="18">
        <v>181500</v>
      </c>
      <c r="C1205" s="14">
        <v>180500</v>
      </c>
      <c r="D1205" s="14">
        <v>183000</v>
      </c>
      <c r="E1205" s="14">
        <v>180000</v>
      </c>
      <c r="F1205" t="s">
        <v>1034</v>
      </c>
      <c r="G1205" s="15">
        <v>-1.89E-2</v>
      </c>
    </row>
    <row r="1206" spans="1:7" x14ac:dyDescent="0.15">
      <c r="A1206" s="86">
        <v>44613</v>
      </c>
      <c r="B1206" s="18">
        <v>185000</v>
      </c>
      <c r="C1206" s="14">
        <v>180500</v>
      </c>
      <c r="D1206" s="14">
        <v>185500</v>
      </c>
      <c r="E1206" s="14">
        <v>179500</v>
      </c>
      <c r="F1206" t="s">
        <v>1035</v>
      </c>
      <c r="G1206" s="15">
        <v>8.2000000000000007E-3</v>
      </c>
    </row>
    <row r="1207" spans="1:7" x14ac:dyDescent="0.15">
      <c r="A1207" s="86">
        <v>44612</v>
      </c>
      <c r="B1207" s="18">
        <v>183500</v>
      </c>
      <c r="C1207" s="14">
        <v>183500</v>
      </c>
      <c r="D1207" s="14">
        <v>183500</v>
      </c>
      <c r="E1207" s="14">
        <v>183500</v>
      </c>
      <c r="G1207" s="15">
        <v>0</v>
      </c>
    </row>
    <row r="1208" spans="1:7" x14ac:dyDescent="0.15">
      <c r="A1208" s="86">
        <v>44610</v>
      </c>
      <c r="B1208" s="18">
        <v>183500</v>
      </c>
      <c r="C1208" s="14">
        <v>181000</v>
      </c>
      <c r="D1208" s="14">
        <v>184000</v>
      </c>
      <c r="E1208" s="14">
        <v>180500</v>
      </c>
      <c r="F1208" t="s">
        <v>1036</v>
      </c>
      <c r="G1208" s="15">
        <v>0</v>
      </c>
    </row>
    <row r="1209" spans="1:7" x14ac:dyDescent="0.15">
      <c r="A1209" s="86">
        <v>44609</v>
      </c>
      <c r="B1209" s="18">
        <v>183500</v>
      </c>
      <c r="C1209" s="14">
        <v>182500</v>
      </c>
      <c r="D1209" s="14">
        <v>186000</v>
      </c>
      <c r="E1209" s="14">
        <v>181000</v>
      </c>
      <c r="F1209" t="s">
        <v>1037</v>
      </c>
      <c r="G1209" s="15">
        <v>8.2000000000000007E-3</v>
      </c>
    </row>
    <row r="1210" spans="1:7" x14ac:dyDescent="0.15">
      <c r="A1210" s="86">
        <v>44608</v>
      </c>
      <c r="B1210" s="18">
        <v>182000</v>
      </c>
      <c r="C1210" s="14">
        <v>185000</v>
      </c>
      <c r="D1210" s="14">
        <v>185000</v>
      </c>
      <c r="E1210" s="14">
        <v>181500</v>
      </c>
      <c r="F1210" t="s">
        <v>1038</v>
      </c>
      <c r="G1210" s="15">
        <v>8.3000000000000001E-3</v>
      </c>
    </row>
    <row r="1211" spans="1:7" x14ac:dyDescent="0.15">
      <c r="A1211" s="86">
        <v>44607</v>
      </c>
      <c r="B1211" s="18">
        <v>180500</v>
      </c>
      <c r="C1211" s="14">
        <v>177000</v>
      </c>
      <c r="D1211" s="14">
        <v>183000</v>
      </c>
      <c r="E1211" s="14">
        <v>176500</v>
      </c>
      <c r="F1211" t="s">
        <v>1039</v>
      </c>
      <c r="G1211" s="15">
        <v>2.2700000000000001E-2</v>
      </c>
    </row>
    <row r="1212" spans="1:7" x14ac:dyDescent="0.15">
      <c r="A1212" s="86">
        <v>44606</v>
      </c>
      <c r="B1212" s="18">
        <v>176500</v>
      </c>
      <c r="C1212" s="14">
        <v>179500</v>
      </c>
      <c r="D1212" s="14">
        <v>181000</v>
      </c>
      <c r="E1212" s="14">
        <v>176000</v>
      </c>
      <c r="F1212" t="s">
        <v>1040</v>
      </c>
      <c r="G1212" s="15">
        <v>-3.5499999999999997E-2</v>
      </c>
    </row>
    <row r="1213" spans="1:7" x14ac:dyDescent="0.15">
      <c r="A1213" s="86">
        <v>44605</v>
      </c>
      <c r="B1213" s="18">
        <v>183000</v>
      </c>
      <c r="C1213" s="14">
        <v>183000</v>
      </c>
      <c r="D1213" s="14">
        <v>183000</v>
      </c>
      <c r="E1213" s="14">
        <v>183000</v>
      </c>
      <c r="G1213" s="15">
        <v>0</v>
      </c>
    </row>
    <row r="1214" spans="1:7" x14ac:dyDescent="0.15">
      <c r="A1214" s="86">
        <v>44603</v>
      </c>
      <c r="B1214" s="18">
        <v>183000</v>
      </c>
      <c r="C1214" s="14">
        <v>183000</v>
      </c>
      <c r="D1214" s="14">
        <v>184500</v>
      </c>
      <c r="E1214" s="14">
        <v>181000</v>
      </c>
      <c r="F1214" t="s">
        <v>1041</v>
      </c>
      <c r="G1214" s="15">
        <v>-1.35E-2</v>
      </c>
    </row>
    <row r="1215" spans="1:7" x14ac:dyDescent="0.15">
      <c r="A1215" s="86">
        <v>44602</v>
      </c>
      <c r="B1215" s="18">
        <v>185500</v>
      </c>
      <c r="C1215" s="14">
        <v>186000</v>
      </c>
      <c r="D1215" s="14">
        <v>187000</v>
      </c>
      <c r="E1215" s="14">
        <v>182500</v>
      </c>
      <c r="F1215" t="s">
        <v>1037</v>
      </c>
      <c r="G1215" s="15">
        <v>2.7000000000000001E-3</v>
      </c>
    </row>
    <row r="1216" spans="1:7" x14ac:dyDescent="0.15">
      <c r="A1216" s="86">
        <v>44601</v>
      </c>
      <c r="B1216" s="18">
        <v>185000</v>
      </c>
      <c r="C1216" s="14">
        <v>186000</v>
      </c>
      <c r="D1216" s="14">
        <v>186000</v>
      </c>
      <c r="E1216" s="14">
        <v>182500</v>
      </c>
      <c r="F1216" t="s">
        <v>1042</v>
      </c>
      <c r="G1216" s="15">
        <v>2.7000000000000001E-3</v>
      </c>
    </row>
    <row r="1217" spans="1:7" x14ac:dyDescent="0.15">
      <c r="A1217" s="86">
        <v>44600</v>
      </c>
      <c r="B1217" s="18">
        <v>184500</v>
      </c>
      <c r="C1217" s="14">
        <v>186500</v>
      </c>
      <c r="D1217" s="14">
        <v>188000</v>
      </c>
      <c r="E1217" s="14">
        <v>183500</v>
      </c>
      <c r="F1217" t="s">
        <v>129</v>
      </c>
      <c r="G1217" s="15">
        <v>-1.0699999999999999E-2</v>
      </c>
    </row>
    <row r="1218" spans="1:7" x14ac:dyDescent="0.15">
      <c r="A1218" s="86">
        <v>44599</v>
      </c>
      <c r="B1218" s="18">
        <v>186500</v>
      </c>
      <c r="C1218" s="14">
        <v>189500</v>
      </c>
      <c r="D1218" s="14">
        <v>190000</v>
      </c>
      <c r="E1218" s="14">
        <v>184500</v>
      </c>
      <c r="F1218" t="s">
        <v>1043</v>
      </c>
      <c r="G1218" s="15">
        <v>-1.84E-2</v>
      </c>
    </row>
    <row r="1219" spans="1:7" x14ac:dyDescent="0.15">
      <c r="A1219" s="86">
        <v>44598</v>
      </c>
      <c r="B1219" s="18">
        <v>190000</v>
      </c>
      <c r="C1219" s="14">
        <v>190000</v>
      </c>
      <c r="D1219" s="14">
        <v>190000</v>
      </c>
      <c r="E1219" s="14">
        <v>190000</v>
      </c>
      <c r="G1219" s="15">
        <v>0</v>
      </c>
    </row>
    <row r="1220" spans="1:7" x14ac:dyDescent="0.15">
      <c r="A1220" s="86">
        <v>44596</v>
      </c>
      <c r="B1220" s="18">
        <v>190000</v>
      </c>
      <c r="C1220" s="14">
        <v>190500</v>
      </c>
      <c r="D1220" s="14">
        <v>192000</v>
      </c>
      <c r="E1220" s="14">
        <v>188000</v>
      </c>
      <c r="F1220" t="s">
        <v>1044</v>
      </c>
      <c r="G1220" s="15">
        <v>-7.7999999999999996E-3</v>
      </c>
    </row>
    <row r="1221" spans="1:7" x14ac:dyDescent="0.15">
      <c r="A1221" s="86">
        <v>44595</v>
      </c>
      <c r="B1221" s="18">
        <v>191500</v>
      </c>
      <c r="C1221" s="14">
        <v>194500</v>
      </c>
      <c r="D1221" s="14">
        <v>195000</v>
      </c>
      <c r="E1221" s="14">
        <v>191500</v>
      </c>
      <c r="F1221" t="s">
        <v>1045</v>
      </c>
      <c r="G1221" s="15">
        <v>1.06E-2</v>
      </c>
    </row>
    <row r="1222" spans="1:7" x14ac:dyDescent="0.15">
      <c r="A1222" s="86">
        <v>44589</v>
      </c>
      <c r="B1222" s="18">
        <v>189500</v>
      </c>
      <c r="C1222" s="14">
        <v>186500</v>
      </c>
      <c r="D1222" s="14">
        <v>190500</v>
      </c>
      <c r="E1222" s="14">
        <v>180000</v>
      </c>
      <c r="F1222" t="s">
        <v>124</v>
      </c>
      <c r="G1222" s="15">
        <v>1.61E-2</v>
      </c>
    </row>
    <row r="1223" spans="1:7" x14ac:dyDescent="0.15">
      <c r="A1223" s="86">
        <v>44588</v>
      </c>
      <c r="B1223" s="18">
        <v>186500</v>
      </c>
      <c r="C1223" s="14">
        <v>190000</v>
      </c>
      <c r="D1223" s="14">
        <v>191500</v>
      </c>
      <c r="E1223" s="14">
        <v>185500</v>
      </c>
      <c r="F1223" t="s">
        <v>1046</v>
      </c>
      <c r="G1223" s="15">
        <v>-1.84E-2</v>
      </c>
    </row>
    <row r="1224" spans="1:7" x14ac:dyDescent="0.15">
      <c r="A1224" s="86">
        <v>44587</v>
      </c>
      <c r="B1224" s="18">
        <v>190000</v>
      </c>
      <c r="C1224" s="14">
        <v>193500</v>
      </c>
      <c r="D1224" s="14">
        <v>194500</v>
      </c>
      <c r="E1224" s="14">
        <v>189500</v>
      </c>
      <c r="F1224" t="s">
        <v>1047</v>
      </c>
      <c r="G1224" s="15">
        <v>-2.3099999999999999E-2</v>
      </c>
    </row>
    <row r="1225" spans="1:7" x14ac:dyDescent="0.15">
      <c r="A1225" s="86">
        <v>44586</v>
      </c>
      <c r="B1225" s="18">
        <v>194500</v>
      </c>
      <c r="C1225" s="14">
        <v>196500</v>
      </c>
      <c r="D1225" s="14">
        <v>197000</v>
      </c>
      <c r="E1225" s="14">
        <v>190000</v>
      </c>
      <c r="F1225" t="s">
        <v>230</v>
      </c>
      <c r="G1225" s="15">
        <v>-1.2699999999999999E-2</v>
      </c>
    </row>
    <row r="1226" spans="1:7" x14ac:dyDescent="0.15">
      <c r="A1226" s="86">
        <v>44585</v>
      </c>
      <c r="B1226" s="18">
        <v>197000</v>
      </c>
      <c r="C1226" s="14">
        <v>197500</v>
      </c>
      <c r="D1226" s="14">
        <v>200000</v>
      </c>
      <c r="E1226" s="14">
        <v>195000</v>
      </c>
      <c r="F1226" t="s">
        <v>1048</v>
      </c>
      <c r="G1226" s="15">
        <v>-1.4999999999999999E-2</v>
      </c>
    </row>
    <row r="1227" spans="1:7" x14ac:dyDescent="0.15">
      <c r="A1227" s="86">
        <v>44584</v>
      </c>
      <c r="B1227" s="18">
        <v>200000</v>
      </c>
      <c r="C1227" s="14">
        <v>200000</v>
      </c>
      <c r="D1227" s="14">
        <v>200000</v>
      </c>
      <c r="E1227" s="14">
        <v>200000</v>
      </c>
      <c r="G1227" s="15">
        <v>0</v>
      </c>
    </row>
    <row r="1228" spans="1:7" x14ac:dyDescent="0.15">
      <c r="A1228" s="86">
        <v>44582</v>
      </c>
      <c r="B1228" s="18">
        <v>200000</v>
      </c>
      <c r="C1228" s="14">
        <v>199500</v>
      </c>
      <c r="D1228" s="14">
        <v>201000</v>
      </c>
      <c r="E1228" s="14">
        <v>198500</v>
      </c>
      <c r="F1228" t="s">
        <v>1049</v>
      </c>
      <c r="G1228" s="15">
        <v>-9.9000000000000008E-3</v>
      </c>
    </row>
    <row r="1229" spans="1:7" x14ac:dyDescent="0.15">
      <c r="A1229" s="86">
        <v>44581</v>
      </c>
      <c r="B1229" s="18">
        <v>202000</v>
      </c>
      <c r="C1229" s="14">
        <v>200500</v>
      </c>
      <c r="D1229" s="14">
        <v>202500</v>
      </c>
      <c r="E1229" s="14">
        <v>199500</v>
      </c>
      <c r="F1229" t="s">
        <v>1050</v>
      </c>
      <c r="G1229" s="15">
        <v>7.4999999999999997E-3</v>
      </c>
    </row>
    <row r="1230" spans="1:7" x14ac:dyDescent="0.15">
      <c r="A1230" s="86">
        <v>44580</v>
      </c>
      <c r="B1230" s="18">
        <v>200500</v>
      </c>
      <c r="C1230" s="14">
        <v>200500</v>
      </c>
      <c r="D1230" s="14">
        <v>203500</v>
      </c>
      <c r="E1230" s="14">
        <v>200000</v>
      </c>
      <c r="F1230" t="s">
        <v>1051</v>
      </c>
      <c r="G1230" s="15">
        <v>-9.9000000000000008E-3</v>
      </c>
    </row>
    <row r="1231" spans="1:7" x14ac:dyDescent="0.15">
      <c r="A1231" s="86">
        <v>44579</v>
      </c>
      <c r="B1231" s="18">
        <v>202500</v>
      </c>
      <c r="C1231" s="14">
        <v>206000</v>
      </c>
      <c r="D1231" s="14">
        <v>206000</v>
      </c>
      <c r="E1231" s="14">
        <v>201500</v>
      </c>
      <c r="F1231" t="s">
        <v>1052</v>
      </c>
      <c r="G1231" s="15">
        <v>-1.2200000000000001E-2</v>
      </c>
    </row>
    <row r="1232" spans="1:7" x14ac:dyDescent="0.15">
      <c r="A1232" s="86">
        <v>44578</v>
      </c>
      <c r="B1232" s="18">
        <v>205000</v>
      </c>
      <c r="C1232" s="14">
        <v>208500</v>
      </c>
      <c r="D1232" s="14">
        <v>209000</v>
      </c>
      <c r="E1232" s="14">
        <v>202500</v>
      </c>
      <c r="F1232" t="s">
        <v>1053</v>
      </c>
      <c r="G1232" s="15">
        <v>-1.9099999999999999E-2</v>
      </c>
    </row>
    <row r="1233" spans="1:7" x14ac:dyDescent="0.15">
      <c r="A1233" s="86">
        <v>44577</v>
      </c>
      <c r="B1233" s="18">
        <v>209000</v>
      </c>
      <c r="C1233" s="14">
        <v>209000</v>
      </c>
      <c r="D1233" s="14">
        <v>209000</v>
      </c>
      <c r="E1233" s="14">
        <v>209000</v>
      </c>
      <c r="G1233" s="15">
        <v>0</v>
      </c>
    </row>
    <row r="1234" spans="1:7" x14ac:dyDescent="0.15">
      <c r="A1234" s="86">
        <v>44575</v>
      </c>
      <c r="B1234" s="18">
        <v>209000</v>
      </c>
      <c r="C1234" s="14">
        <v>209500</v>
      </c>
      <c r="D1234" s="14">
        <v>211000</v>
      </c>
      <c r="E1234" s="14">
        <v>208000</v>
      </c>
      <c r="F1234" t="s">
        <v>1054</v>
      </c>
      <c r="G1234" s="15">
        <v>-4.7999999999999996E-3</v>
      </c>
    </row>
    <row r="1235" spans="1:7" x14ac:dyDescent="0.15">
      <c r="A1235" s="86">
        <v>44574</v>
      </c>
      <c r="B1235" s="18">
        <v>210000</v>
      </c>
      <c r="C1235" s="14">
        <v>211500</v>
      </c>
      <c r="D1235" s="14">
        <v>213000</v>
      </c>
      <c r="E1235" s="14">
        <v>210000</v>
      </c>
      <c r="F1235" t="s">
        <v>1055</v>
      </c>
      <c r="G1235" s="15">
        <v>-7.1000000000000004E-3</v>
      </c>
    </row>
    <row r="1236" spans="1:7" x14ac:dyDescent="0.15">
      <c r="A1236" s="86">
        <v>44573</v>
      </c>
      <c r="B1236" s="18">
        <v>211500</v>
      </c>
      <c r="C1236" s="14">
        <v>211500</v>
      </c>
      <c r="D1236" s="14">
        <v>213000</v>
      </c>
      <c r="E1236" s="14">
        <v>210500</v>
      </c>
      <c r="F1236" t="s">
        <v>1056</v>
      </c>
      <c r="G1236" s="15">
        <v>4.7999999999999996E-3</v>
      </c>
    </row>
    <row r="1237" spans="1:7" x14ac:dyDescent="0.15">
      <c r="A1237" s="86">
        <v>44572</v>
      </c>
      <c r="B1237" s="18">
        <v>210500</v>
      </c>
      <c r="C1237" s="14">
        <v>209500</v>
      </c>
      <c r="D1237" s="14">
        <v>211000</v>
      </c>
      <c r="E1237" s="14">
        <v>209000</v>
      </c>
      <c r="F1237" t="s">
        <v>1057</v>
      </c>
      <c r="G1237" s="15">
        <v>4.7999999999999996E-3</v>
      </c>
    </row>
    <row r="1238" spans="1:7" x14ac:dyDescent="0.15">
      <c r="A1238" s="86">
        <v>44571</v>
      </c>
      <c r="B1238" s="18">
        <v>209500</v>
      </c>
      <c r="C1238" s="14">
        <v>214500</v>
      </c>
      <c r="D1238" s="14">
        <v>215000</v>
      </c>
      <c r="E1238" s="14">
        <v>209000</v>
      </c>
      <c r="F1238" t="s">
        <v>1058</v>
      </c>
      <c r="G1238" s="15">
        <v>-2.5600000000000001E-2</v>
      </c>
    </row>
    <row r="1239" spans="1:7" x14ac:dyDescent="0.15">
      <c r="A1239" s="86">
        <v>44570</v>
      </c>
      <c r="B1239" s="18">
        <v>215000</v>
      </c>
      <c r="C1239" s="14">
        <v>215000</v>
      </c>
      <c r="D1239" s="14">
        <v>215000</v>
      </c>
      <c r="E1239" s="14">
        <v>215000</v>
      </c>
      <c r="G1239" s="15">
        <v>0</v>
      </c>
    </row>
    <row r="1240" spans="1:7" x14ac:dyDescent="0.15">
      <c r="A1240" s="86">
        <v>44568</v>
      </c>
      <c r="B1240" s="18">
        <v>215000</v>
      </c>
      <c r="C1240" s="14">
        <v>214500</v>
      </c>
      <c r="D1240" s="14">
        <v>216500</v>
      </c>
      <c r="E1240" s="14">
        <v>213500</v>
      </c>
      <c r="F1240" t="s">
        <v>1059</v>
      </c>
      <c r="G1240" s="15">
        <v>4.7000000000000002E-3</v>
      </c>
    </row>
    <row r="1241" spans="1:7" x14ac:dyDescent="0.15">
      <c r="A1241" s="86">
        <v>44567</v>
      </c>
      <c r="B1241" s="18">
        <v>214000</v>
      </c>
      <c r="C1241" s="14">
        <v>210000</v>
      </c>
      <c r="D1241" s="14">
        <v>216500</v>
      </c>
      <c r="E1241" s="14">
        <v>210000</v>
      </c>
      <c r="F1241" t="s">
        <v>1060</v>
      </c>
      <c r="G1241" s="15">
        <v>2.3E-3</v>
      </c>
    </row>
    <row r="1242" spans="1:7" x14ac:dyDescent="0.15">
      <c r="A1242" s="86">
        <v>44566</v>
      </c>
      <c r="B1242" s="18">
        <v>213500</v>
      </c>
      <c r="C1242" s="14">
        <v>214000</v>
      </c>
      <c r="D1242" s="14">
        <v>217500</v>
      </c>
      <c r="E1242" s="14">
        <v>212000</v>
      </c>
      <c r="F1242" t="s">
        <v>230</v>
      </c>
      <c r="G1242" s="15">
        <v>1.67E-2</v>
      </c>
    </row>
    <row r="1243" spans="1:7" x14ac:dyDescent="0.15">
      <c r="A1243" s="86">
        <v>44565</v>
      </c>
      <c r="B1243" s="18">
        <v>210000</v>
      </c>
      <c r="C1243" s="14">
        <v>212000</v>
      </c>
      <c r="D1243" s="14">
        <v>212500</v>
      </c>
      <c r="E1243" s="14">
        <v>208500</v>
      </c>
      <c r="F1243" t="s">
        <v>1061</v>
      </c>
      <c r="G1243" s="15">
        <v>-2.3999999999999998E-3</v>
      </c>
    </row>
    <row r="1244" spans="1:7" x14ac:dyDescent="0.15">
      <c r="A1244" s="86">
        <v>44564</v>
      </c>
      <c r="B1244" s="18">
        <v>210500</v>
      </c>
      <c r="C1244" s="14">
        <v>211500</v>
      </c>
      <c r="D1244" s="14">
        <v>212500</v>
      </c>
      <c r="E1244" s="14">
        <v>209000</v>
      </c>
      <c r="F1244" t="s">
        <v>1062</v>
      </c>
      <c r="G1244" s="15">
        <v>7.1999999999999998E-3</v>
      </c>
    </row>
    <row r="1245" spans="1:7" x14ac:dyDescent="0.15">
      <c r="A1245" s="86">
        <v>44560</v>
      </c>
      <c r="B1245" s="18">
        <v>209000</v>
      </c>
      <c r="C1245" s="14">
        <v>211500</v>
      </c>
      <c r="D1245" s="14">
        <v>212000</v>
      </c>
      <c r="E1245" s="14">
        <v>208500</v>
      </c>
      <c r="F1245" t="s">
        <v>1063</v>
      </c>
      <c r="G1245" s="15">
        <v>-1.4200000000000001E-2</v>
      </c>
    </row>
    <row r="1246" spans="1:7" x14ac:dyDescent="0.15">
      <c r="A1246" s="86">
        <v>44559</v>
      </c>
      <c r="B1246" s="18">
        <v>212000</v>
      </c>
      <c r="C1246" s="14">
        <v>213000</v>
      </c>
      <c r="D1246" s="14">
        <v>215000</v>
      </c>
      <c r="E1246" s="14">
        <v>211500</v>
      </c>
      <c r="F1246" t="s">
        <v>1064</v>
      </c>
      <c r="G1246" s="15">
        <v>-9.2999999999999992E-3</v>
      </c>
    </row>
    <row r="1247" spans="1:7" x14ac:dyDescent="0.15">
      <c r="A1247" s="86">
        <v>44558</v>
      </c>
      <c r="B1247" s="18">
        <v>214000</v>
      </c>
      <c r="C1247" s="14">
        <v>215000</v>
      </c>
      <c r="D1247" s="14">
        <v>215000</v>
      </c>
      <c r="E1247" s="14">
        <v>211500</v>
      </c>
      <c r="F1247" t="s">
        <v>1058</v>
      </c>
      <c r="G1247" s="15">
        <v>2.3E-3</v>
      </c>
    </row>
    <row r="1248" spans="1:7" x14ac:dyDescent="0.15">
      <c r="A1248" s="86">
        <v>44557</v>
      </c>
      <c r="B1248" s="18">
        <v>213500</v>
      </c>
      <c r="C1248" s="14">
        <v>216500</v>
      </c>
      <c r="D1248" s="14">
        <v>217000</v>
      </c>
      <c r="E1248" s="14">
        <v>213500</v>
      </c>
      <c r="F1248" t="s">
        <v>1046</v>
      </c>
      <c r="G1248" s="15">
        <v>-9.2999999999999992E-3</v>
      </c>
    </row>
    <row r="1249" spans="1:7" x14ac:dyDescent="0.15">
      <c r="A1249" s="86">
        <v>44556</v>
      </c>
      <c r="B1249" s="18">
        <v>215500</v>
      </c>
      <c r="C1249" s="14">
        <v>215500</v>
      </c>
      <c r="D1249" s="14">
        <v>215500</v>
      </c>
      <c r="E1249" s="14">
        <v>215500</v>
      </c>
      <c r="G1249" s="15">
        <v>0</v>
      </c>
    </row>
    <row r="1250" spans="1:7" x14ac:dyDescent="0.15">
      <c r="A1250" s="86">
        <v>44554</v>
      </c>
      <c r="B1250" s="18">
        <v>215500</v>
      </c>
      <c r="C1250" s="14">
        <v>210500</v>
      </c>
      <c r="D1250" s="14">
        <v>216500</v>
      </c>
      <c r="E1250" s="14">
        <v>210500</v>
      </c>
      <c r="F1250" t="s">
        <v>556</v>
      </c>
      <c r="G1250" s="15">
        <v>3.1099999999999999E-2</v>
      </c>
    </row>
    <row r="1251" spans="1:7" x14ac:dyDescent="0.15">
      <c r="A1251" s="86">
        <v>44553</v>
      </c>
      <c r="B1251" s="18">
        <v>209000</v>
      </c>
      <c r="C1251" s="14">
        <v>208000</v>
      </c>
      <c r="D1251" s="14">
        <v>209000</v>
      </c>
      <c r="E1251" s="14">
        <v>207000</v>
      </c>
      <c r="F1251" t="s">
        <v>1038</v>
      </c>
      <c r="G1251" s="15">
        <v>1.21E-2</v>
      </c>
    </row>
    <row r="1252" spans="1:7" x14ac:dyDescent="0.15">
      <c r="A1252" s="86">
        <v>44552</v>
      </c>
      <c r="B1252" s="18">
        <v>206500</v>
      </c>
      <c r="C1252" s="14">
        <v>207000</v>
      </c>
      <c r="D1252" s="14">
        <v>209500</v>
      </c>
      <c r="E1252" s="14">
        <v>205500</v>
      </c>
      <c r="F1252" t="s">
        <v>1065</v>
      </c>
      <c r="G1252" s="15">
        <v>7.3000000000000001E-3</v>
      </c>
    </row>
    <row r="1253" spans="1:7" x14ac:dyDescent="0.15">
      <c r="A1253" s="86">
        <v>44551</v>
      </c>
      <c r="B1253" s="18">
        <v>205000</v>
      </c>
      <c r="C1253" s="14">
        <v>206000</v>
      </c>
      <c r="D1253" s="14">
        <v>207500</v>
      </c>
      <c r="E1253" s="14">
        <v>204000</v>
      </c>
      <c r="F1253" t="s">
        <v>1038</v>
      </c>
      <c r="G1253" s="15">
        <v>0</v>
      </c>
    </row>
    <row r="1254" spans="1:7" x14ac:dyDescent="0.15">
      <c r="A1254" s="86">
        <v>44550</v>
      </c>
      <c r="B1254" s="18">
        <v>205000</v>
      </c>
      <c r="C1254" s="14">
        <v>209000</v>
      </c>
      <c r="D1254" s="14">
        <v>209000</v>
      </c>
      <c r="E1254" s="14">
        <v>204500</v>
      </c>
      <c r="F1254" t="s">
        <v>1066</v>
      </c>
      <c r="G1254" s="15">
        <v>-2.1499999999999998E-2</v>
      </c>
    </row>
    <row r="1255" spans="1:7" x14ac:dyDescent="0.15">
      <c r="A1255" s="86">
        <v>44549</v>
      </c>
      <c r="B1255" s="18">
        <v>209500</v>
      </c>
      <c r="C1255" s="14">
        <v>209500</v>
      </c>
      <c r="D1255" s="14">
        <v>209500</v>
      </c>
      <c r="E1255" s="14">
        <v>209500</v>
      </c>
      <c r="G1255" s="15">
        <v>0</v>
      </c>
    </row>
    <row r="1256" spans="1:7" x14ac:dyDescent="0.15">
      <c r="A1256" s="86">
        <v>44547</v>
      </c>
      <c r="B1256" s="18">
        <v>209500</v>
      </c>
      <c r="C1256" s="14">
        <v>208500</v>
      </c>
      <c r="D1256" s="14">
        <v>211500</v>
      </c>
      <c r="E1256" s="14">
        <v>208000</v>
      </c>
      <c r="F1256" t="s">
        <v>1067</v>
      </c>
      <c r="G1256" s="15">
        <v>0</v>
      </c>
    </row>
    <row r="1257" spans="1:7" x14ac:dyDescent="0.15">
      <c r="A1257" s="86">
        <v>44546</v>
      </c>
      <c r="B1257" s="18">
        <v>209500</v>
      </c>
      <c r="C1257" s="14">
        <v>211000</v>
      </c>
      <c r="D1257" s="14">
        <v>212000</v>
      </c>
      <c r="E1257" s="14">
        <v>208000</v>
      </c>
      <c r="F1257" t="s">
        <v>1065</v>
      </c>
      <c r="G1257" s="15">
        <v>2.3999999999999998E-3</v>
      </c>
    </row>
    <row r="1258" spans="1:7" x14ac:dyDescent="0.15">
      <c r="A1258" s="86">
        <v>44545</v>
      </c>
      <c r="B1258" s="18">
        <v>209000</v>
      </c>
      <c r="C1258" s="14">
        <v>210000</v>
      </c>
      <c r="D1258" s="14">
        <v>211500</v>
      </c>
      <c r="E1258" s="14">
        <v>208500</v>
      </c>
      <c r="F1258" t="s">
        <v>1038</v>
      </c>
      <c r="G1258" s="15">
        <v>-9.4999999999999998E-3</v>
      </c>
    </row>
    <row r="1259" spans="1:7" x14ac:dyDescent="0.15">
      <c r="A1259" s="86">
        <v>44544</v>
      </c>
      <c r="B1259" s="18">
        <v>211000</v>
      </c>
      <c r="C1259" s="14">
        <v>208000</v>
      </c>
      <c r="D1259" s="14">
        <v>212000</v>
      </c>
      <c r="E1259" s="14">
        <v>207500</v>
      </c>
      <c r="F1259" t="s">
        <v>1065</v>
      </c>
      <c r="G1259" s="15">
        <v>9.5999999999999992E-3</v>
      </c>
    </row>
    <row r="1260" spans="1:7" x14ac:dyDescent="0.15">
      <c r="A1260" s="86">
        <v>44543</v>
      </c>
      <c r="B1260" s="18">
        <v>209000</v>
      </c>
      <c r="C1260" s="14">
        <v>210000</v>
      </c>
      <c r="D1260" s="14">
        <v>214000</v>
      </c>
      <c r="E1260" s="14">
        <v>209000</v>
      </c>
      <c r="F1260" t="s">
        <v>1068</v>
      </c>
      <c r="G1260" s="15">
        <v>7.1999999999999998E-3</v>
      </c>
    </row>
    <row r="1261" spans="1:7" x14ac:dyDescent="0.15">
      <c r="A1261" s="86">
        <v>44542</v>
      </c>
      <c r="B1261" s="18">
        <v>207500</v>
      </c>
      <c r="C1261" s="14">
        <v>207500</v>
      </c>
      <c r="D1261" s="14">
        <v>207500</v>
      </c>
      <c r="E1261" s="14">
        <v>207500</v>
      </c>
      <c r="G1261" s="15">
        <v>0</v>
      </c>
    </row>
    <row r="1262" spans="1:7" x14ac:dyDescent="0.15">
      <c r="A1262" s="86">
        <v>44540</v>
      </c>
      <c r="B1262" s="18">
        <v>207500</v>
      </c>
      <c r="C1262" s="14">
        <v>207000</v>
      </c>
      <c r="D1262" s="14">
        <v>209500</v>
      </c>
      <c r="E1262" s="14">
        <v>205500</v>
      </c>
      <c r="F1262" t="s">
        <v>1069</v>
      </c>
      <c r="G1262" s="15">
        <v>2.3999999999999998E-3</v>
      </c>
    </row>
    <row r="1263" spans="1:7" x14ac:dyDescent="0.15">
      <c r="A1263" s="86">
        <v>44539</v>
      </c>
      <c r="B1263" s="18">
        <v>207000</v>
      </c>
      <c r="C1263" s="14">
        <v>207000</v>
      </c>
      <c r="D1263" s="14">
        <v>210000</v>
      </c>
      <c r="E1263" s="14">
        <v>206500</v>
      </c>
      <c r="F1263" t="s">
        <v>1070</v>
      </c>
      <c r="G1263" s="15">
        <v>-2.3999999999999998E-3</v>
      </c>
    </row>
    <row r="1264" spans="1:7" x14ac:dyDescent="0.15">
      <c r="A1264" s="86">
        <v>44538</v>
      </c>
      <c r="B1264" s="18">
        <v>207500</v>
      </c>
      <c r="C1264" s="14">
        <v>209500</v>
      </c>
      <c r="D1264" s="14">
        <v>211000</v>
      </c>
      <c r="E1264" s="14">
        <v>207000</v>
      </c>
      <c r="F1264" t="s">
        <v>1071</v>
      </c>
      <c r="G1264" s="15">
        <v>0</v>
      </c>
    </row>
    <row r="1265" spans="1:7" x14ac:dyDescent="0.15">
      <c r="A1265" s="86">
        <v>44537</v>
      </c>
      <c r="B1265" s="18">
        <v>207500</v>
      </c>
      <c r="C1265" s="14">
        <v>206000</v>
      </c>
      <c r="D1265" s="14">
        <v>208000</v>
      </c>
      <c r="E1265" s="14">
        <v>204000</v>
      </c>
      <c r="F1265" t="s">
        <v>1037</v>
      </c>
      <c r="G1265" s="15">
        <v>4.7999999999999996E-3</v>
      </c>
    </row>
    <row r="1266" spans="1:7" x14ac:dyDescent="0.15">
      <c r="A1266" s="86">
        <v>44536</v>
      </c>
      <c r="B1266" s="18">
        <v>206500</v>
      </c>
      <c r="C1266" s="14">
        <v>204500</v>
      </c>
      <c r="D1266" s="14">
        <v>208000</v>
      </c>
      <c r="E1266" s="14">
        <v>202500</v>
      </c>
      <c r="F1266" t="s">
        <v>1072</v>
      </c>
      <c r="G1266" s="15">
        <v>2.3999999999999998E-3</v>
      </c>
    </row>
    <row r="1267" spans="1:7" x14ac:dyDescent="0.15">
      <c r="A1267" s="86">
        <v>44535</v>
      </c>
      <c r="B1267" s="18">
        <v>206000</v>
      </c>
      <c r="C1267" s="14">
        <v>206000</v>
      </c>
      <c r="D1267" s="14">
        <v>206000</v>
      </c>
      <c r="E1267" s="14">
        <v>206000</v>
      </c>
      <c r="G1267" s="15">
        <v>0</v>
      </c>
    </row>
    <row r="1268" spans="1:7" x14ac:dyDescent="0.15">
      <c r="A1268" s="86">
        <v>44533</v>
      </c>
      <c r="B1268" s="18">
        <v>206000</v>
      </c>
      <c r="C1268" s="14">
        <v>205500</v>
      </c>
      <c r="D1268" s="14">
        <v>208000</v>
      </c>
      <c r="E1268" s="14">
        <v>204500</v>
      </c>
      <c r="F1268" t="s">
        <v>1073</v>
      </c>
      <c r="G1268" s="15">
        <v>2.3999999999999998E-3</v>
      </c>
    </row>
    <row r="1269" spans="1:7" x14ac:dyDescent="0.15">
      <c r="A1269" s="86">
        <v>44532</v>
      </c>
      <c r="B1269" s="18">
        <v>205500</v>
      </c>
      <c r="C1269" s="14">
        <v>199000</v>
      </c>
      <c r="D1269" s="14">
        <v>206000</v>
      </c>
      <c r="E1269" s="14">
        <v>198000</v>
      </c>
      <c r="F1269" t="s">
        <v>1074</v>
      </c>
      <c r="G1269" s="15">
        <v>2.24E-2</v>
      </c>
    </row>
    <row r="1270" spans="1:7" x14ac:dyDescent="0.15">
      <c r="A1270" s="86">
        <v>44531</v>
      </c>
      <c r="B1270" s="18">
        <v>201000</v>
      </c>
      <c r="C1270" s="14">
        <v>197000</v>
      </c>
      <c r="D1270" s="14">
        <v>202000</v>
      </c>
      <c r="E1270" s="14">
        <v>196500</v>
      </c>
      <c r="F1270" t="s">
        <v>1065</v>
      </c>
      <c r="G1270" s="15">
        <v>2.81E-2</v>
      </c>
    </row>
    <row r="1271" spans="1:7" x14ac:dyDescent="0.15">
      <c r="A1271" s="86">
        <v>44530</v>
      </c>
      <c r="B1271" s="18">
        <v>195500</v>
      </c>
      <c r="C1271" s="14">
        <v>202500</v>
      </c>
      <c r="D1271" s="14">
        <v>203500</v>
      </c>
      <c r="E1271" s="14">
        <v>194500</v>
      </c>
      <c r="F1271" t="s">
        <v>1075</v>
      </c>
      <c r="G1271" s="15">
        <v>-2.4899999999999999E-2</v>
      </c>
    </row>
    <row r="1272" spans="1:7" x14ac:dyDescent="0.15">
      <c r="A1272" s="86">
        <v>44529</v>
      </c>
      <c r="B1272" s="18">
        <v>200500</v>
      </c>
      <c r="C1272" s="14">
        <v>199500</v>
      </c>
      <c r="D1272" s="14">
        <v>203500</v>
      </c>
      <c r="E1272" s="14">
        <v>199500</v>
      </c>
      <c r="F1272" t="s">
        <v>1076</v>
      </c>
      <c r="G1272" s="15">
        <v>-2.4299999999999999E-2</v>
      </c>
    </row>
    <row r="1273" spans="1:7" x14ac:dyDescent="0.15">
      <c r="A1273" s="86">
        <v>44528</v>
      </c>
      <c r="B1273" s="18">
        <v>205500</v>
      </c>
      <c r="C1273" s="14">
        <v>205500</v>
      </c>
      <c r="D1273" s="14">
        <v>205500</v>
      </c>
      <c r="E1273" s="14">
        <v>205500</v>
      </c>
      <c r="G1273" s="15">
        <v>0</v>
      </c>
    </row>
    <row r="1274" spans="1:7" x14ac:dyDescent="0.15">
      <c r="A1274" s="86">
        <v>44526</v>
      </c>
      <c r="B1274" s="18">
        <v>205500</v>
      </c>
      <c r="C1274" s="14">
        <v>209500</v>
      </c>
      <c r="D1274" s="14">
        <v>210000</v>
      </c>
      <c r="E1274" s="14">
        <v>204000</v>
      </c>
      <c r="F1274" t="s">
        <v>1077</v>
      </c>
      <c r="G1274" s="15">
        <v>-2.1399999999999999E-2</v>
      </c>
    </row>
    <row r="1275" spans="1:7" x14ac:dyDescent="0.15">
      <c r="A1275" s="86">
        <v>44525</v>
      </c>
      <c r="B1275" s="18">
        <v>210000</v>
      </c>
      <c r="C1275" s="14">
        <v>212500</v>
      </c>
      <c r="D1275" s="14">
        <v>212500</v>
      </c>
      <c r="E1275" s="14">
        <v>210000</v>
      </c>
      <c r="F1275" t="s">
        <v>1037</v>
      </c>
      <c r="G1275" s="15">
        <v>-9.4000000000000004E-3</v>
      </c>
    </row>
    <row r="1276" spans="1:7" x14ac:dyDescent="0.15">
      <c r="A1276" s="86">
        <v>44524</v>
      </c>
      <c r="B1276" s="18">
        <v>212000</v>
      </c>
      <c r="C1276" s="14">
        <v>215500</v>
      </c>
      <c r="D1276" s="14">
        <v>216000</v>
      </c>
      <c r="E1276" s="14">
        <v>211000</v>
      </c>
      <c r="F1276" t="s">
        <v>1037</v>
      </c>
      <c r="G1276" s="15">
        <v>-1.4E-2</v>
      </c>
    </row>
    <row r="1277" spans="1:7" x14ac:dyDescent="0.15">
      <c r="A1277" s="86">
        <v>44523</v>
      </c>
      <c r="B1277" s="18">
        <v>215000</v>
      </c>
      <c r="C1277" s="14">
        <v>219000</v>
      </c>
      <c r="D1277" s="14">
        <v>219000</v>
      </c>
      <c r="E1277" s="14">
        <v>213500</v>
      </c>
      <c r="F1277" t="s">
        <v>1078</v>
      </c>
      <c r="G1277" s="15">
        <v>-1.6E-2</v>
      </c>
    </row>
    <row r="1278" spans="1:7" x14ac:dyDescent="0.15">
      <c r="A1278" s="86">
        <v>44522</v>
      </c>
      <c r="B1278" s="18">
        <v>218500</v>
      </c>
      <c r="C1278" s="14">
        <v>209500</v>
      </c>
      <c r="D1278" s="14">
        <v>220000</v>
      </c>
      <c r="E1278" s="14">
        <v>208000</v>
      </c>
      <c r="F1278" t="s">
        <v>1079</v>
      </c>
      <c r="G1278" s="15">
        <v>4.2999999999999997E-2</v>
      </c>
    </row>
    <row r="1279" spans="1:7" x14ac:dyDescent="0.15">
      <c r="A1279" s="86">
        <v>44521</v>
      </c>
      <c r="B1279" s="18">
        <v>209500</v>
      </c>
      <c r="C1279" s="14">
        <v>209500</v>
      </c>
      <c r="D1279" s="14">
        <v>209500</v>
      </c>
      <c r="E1279" s="14">
        <v>209500</v>
      </c>
      <c r="G1279" s="15">
        <v>0</v>
      </c>
    </row>
    <row r="1280" spans="1:7" x14ac:dyDescent="0.15">
      <c r="A1280" s="86">
        <v>44519</v>
      </c>
      <c r="B1280" s="18">
        <v>209500</v>
      </c>
      <c r="C1280" s="14">
        <v>211500</v>
      </c>
      <c r="D1280" s="14">
        <v>212500</v>
      </c>
      <c r="E1280" s="14">
        <v>208000</v>
      </c>
      <c r="F1280" t="s">
        <v>1080</v>
      </c>
      <c r="G1280" s="15">
        <v>2.1999999999999999E-2</v>
      </c>
    </row>
    <row r="1281" spans="1:7" x14ac:dyDescent="0.15">
      <c r="A1281" s="86">
        <v>44518</v>
      </c>
      <c r="B1281" s="18">
        <v>205000</v>
      </c>
      <c r="C1281" s="14">
        <v>205500</v>
      </c>
      <c r="D1281" s="14">
        <v>206500</v>
      </c>
      <c r="E1281" s="14">
        <v>204000</v>
      </c>
      <c r="F1281" t="s">
        <v>1081</v>
      </c>
      <c r="G1281" s="15">
        <v>-9.7000000000000003E-3</v>
      </c>
    </row>
    <row r="1282" spans="1:7" x14ac:dyDescent="0.15">
      <c r="A1282" s="86">
        <v>44517</v>
      </c>
      <c r="B1282" s="18">
        <v>207000</v>
      </c>
      <c r="C1282" s="14">
        <v>206500</v>
      </c>
      <c r="D1282" s="14">
        <v>209000</v>
      </c>
      <c r="E1282" s="14">
        <v>203000</v>
      </c>
      <c r="F1282" t="s">
        <v>1082</v>
      </c>
      <c r="G1282" s="15">
        <v>2.3999999999999998E-3</v>
      </c>
    </row>
    <row r="1283" spans="1:7" x14ac:dyDescent="0.15">
      <c r="A1283" s="86">
        <v>44516</v>
      </c>
      <c r="B1283" s="18">
        <v>206500</v>
      </c>
      <c r="C1283" s="14">
        <v>208000</v>
      </c>
      <c r="D1283" s="14">
        <v>208000</v>
      </c>
      <c r="E1283" s="14">
        <v>205000</v>
      </c>
      <c r="F1283" t="s">
        <v>1083</v>
      </c>
      <c r="G1283" s="15">
        <v>-1.2E-2</v>
      </c>
    </row>
    <row r="1284" spans="1:7" x14ac:dyDescent="0.15">
      <c r="A1284" s="86">
        <v>44515</v>
      </c>
      <c r="B1284" s="18">
        <v>209000</v>
      </c>
      <c r="C1284" s="14">
        <v>208500</v>
      </c>
      <c r="D1284" s="14">
        <v>210000</v>
      </c>
      <c r="E1284" s="14">
        <v>207500</v>
      </c>
      <c r="F1284" t="s">
        <v>1084</v>
      </c>
      <c r="G1284" s="15">
        <v>4.7999999999999996E-3</v>
      </c>
    </row>
    <row r="1285" spans="1:7" x14ac:dyDescent="0.15">
      <c r="A1285" s="86">
        <v>44514</v>
      </c>
      <c r="B1285" s="18">
        <v>208000</v>
      </c>
      <c r="C1285" s="14">
        <v>208000</v>
      </c>
      <c r="D1285" s="14">
        <v>208000</v>
      </c>
      <c r="E1285" s="14">
        <v>208000</v>
      </c>
      <c r="G1285" s="15">
        <v>0</v>
      </c>
    </row>
    <row r="1286" spans="1:7" x14ac:dyDescent="0.15">
      <c r="A1286" s="86">
        <v>44512</v>
      </c>
      <c r="B1286" s="18">
        <v>208000</v>
      </c>
      <c r="C1286" s="14">
        <v>205000</v>
      </c>
      <c r="D1286" s="14">
        <v>209500</v>
      </c>
      <c r="E1286" s="14">
        <v>205000</v>
      </c>
      <c r="F1286" t="s">
        <v>1085</v>
      </c>
      <c r="G1286" s="15">
        <v>1.46E-2</v>
      </c>
    </row>
    <row r="1287" spans="1:7" x14ac:dyDescent="0.15">
      <c r="A1287" s="86">
        <v>44511</v>
      </c>
      <c r="B1287" s="18">
        <v>205000</v>
      </c>
      <c r="C1287" s="14">
        <v>205500</v>
      </c>
      <c r="D1287" s="14">
        <v>206500</v>
      </c>
      <c r="E1287" s="14">
        <v>203500</v>
      </c>
      <c r="F1287" t="s">
        <v>1086</v>
      </c>
      <c r="G1287" s="15">
        <v>-1.6799999999999999E-2</v>
      </c>
    </row>
    <row r="1288" spans="1:7" x14ac:dyDescent="0.15">
      <c r="A1288" s="86">
        <v>44510</v>
      </c>
      <c r="B1288" s="18">
        <v>208500</v>
      </c>
      <c r="C1288" s="14">
        <v>211000</v>
      </c>
      <c r="D1288" s="14">
        <v>211500</v>
      </c>
      <c r="E1288" s="14">
        <v>207000</v>
      </c>
      <c r="F1288" t="s">
        <v>1084</v>
      </c>
      <c r="G1288" s="15">
        <v>-2.1100000000000001E-2</v>
      </c>
    </row>
    <row r="1289" spans="1:7" x14ac:dyDescent="0.15">
      <c r="A1289" s="86">
        <v>44509</v>
      </c>
      <c r="B1289" s="18">
        <v>213000</v>
      </c>
      <c r="C1289" s="14">
        <v>215500</v>
      </c>
      <c r="D1289" s="14">
        <v>217000</v>
      </c>
      <c r="E1289" s="14">
        <v>212000</v>
      </c>
      <c r="F1289" t="s">
        <v>1086</v>
      </c>
      <c r="G1289" s="15">
        <v>-9.2999999999999992E-3</v>
      </c>
    </row>
    <row r="1290" spans="1:7" x14ac:dyDescent="0.15">
      <c r="A1290" s="86">
        <v>44508</v>
      </c>
      <c r="B1290" s="18">
        <v>215000</v>
      </c>
      <c r="C1290" s="14">
        <v>214500</v>
      </c>
      <c r="D1290" s="14">
        <v>216000</v>
      </c>
      <c r="E1290" s="14">
        <v>212500</v>
      </c>
      <c r="F1290" t="s">
        <v>1087</v>
      </c>
      <c r="G1290" s="15">
        <v>0</v>
      </c>
    </row>
    <row r="1291" spans="1:7" x14ac:dyDescent="0.15">
      <c r="A1291" s="86">
        <v>44507</v>
      </c>
      <c r="B1291" s="18">
        <v>215000</v>
      </c>
      <c r="C1291" s="14">
        <v>215000</v>
      </c>
      <c r="D1291" s="14">
        <v>215000</v>
      </c>
      <c r="E1291" s="14">
        <v>215000</v>
      </c>
      <c r="G1291" s="15">
        <v>0</v>
      </c>
    </row>
    <row r="1292" spans="1:7" x14ac:dyDescent="0.15">
      <c r="A1292" s="86">
        <v>44505</v>
      </c>
      <c r="B1292" s="18">
        <v>215000</v>
      </c>
      <c r="C1292" s="14">
        <v>216500</v>
      </c>
      <c r="D1292" s="14">
        <v>217000</v>
      </c>
      <c r="E1292" s="14">
        <v>214000</v>
      </c>
      <c r="F1292" t="s">
        <v>1088</v>
      </c>
      <c r="G1292" s="15">
        <v>4.7000000000000002E-3</v>
      </c>
    </row>
    <row r="1293" spans="1:7" x14ac:dyDescent="0.15">
      <c r="A1293" s="86">
        <v>44504</v>
      </c>
      <c r="B1293" s="18">
        <v>214000</v>
      </c>
      <c r="C1293" s="14">
        <v>210500</v>
      </c>
      <c r="D1293" s="14">
        <v>216000</v>
      </c>
      <c r="E1293" s="14">
        <v>210000</v>
      </c>
      <c r="F1293" t="s">
        <v>1037</v>
      </c>
      <c r="G1293" s="15">
        <v>2.64E-2</v>
      </c>
    </row>
    <row r="1294" spans="1:7" x14ac:dyDescent="0.15">
      <c r="A1294" s="86">
        <v>44503</v>
      </c>
      <c r="B1294" s="18">
        <v>208500</v>
      </c>
      <c r="C1294" s="14">
        <v>211000</v>
      </c>
      <c r="D1294" s="14">
        <v>212000</v>
      </c>
      <c r="E1294" s="14">
        <v>207000</v>
      </c>
      <c r="F1294" t="s">
        <v>1089</v>
      </c>
      <c r="G1294" s="15">
        <v>-7.1000000000000004E-3</v>
      </c>
    </row>
    <row r="1295" spans="1:7" x14ac:dyDescent="0.15">
      <c r="A1295" s="86">
        <v>44502</v>
      </c>
      <c r="B1295" s="18">
        <v>210000</v>
      </c>
      <c r="C1295" s="14">
        <v>208000</v>
      </c>
      <c r="D1295" s="14">
        <v>211500</v>
      </c>
      <c r="E1295" s="14">
        <v>207500</v>
      </c>
      <c r="F1295" t="s">
        <v>1038</v>
      </c>
      <c r="G1295" s="15">
        <v>9.5999999999999992E-3</v>
      </c>
    </row>
    <row r="1296" spans="1:7" x14ac:dyDescent="0.15">
      <c r="A1296" s="86">
        <v>44501</v>
      </c>
      <c r="B1296" s="18">
        <v>208000</v>
      </c>
      <c r="C1296" s="14">
        <v>208500</v>
      </c>
      <c r="D1296" s="14">
        <v>209500</v>
      </c>
      <c r="E1296" s="14">
        <v>207000</v>
      </c>
      <c r="F1296" t="s">
        <v>1050</v>
      </c>
      <c r="G1296" s="15">
        <v>0</v>
      </c>
    </row>
    <row r="1297" spans="1:7" x14ac:dyDescent="0.15">
      <c r="A1297" s="86">
        <v>44500</v>
      </c>
      <c r="B1297" s="18">
        <v>208000</v>
      </c>
      <c r="C1297" s="14">
        <v>208000</v>
      </c>
      <c r="D1297" s="14">
        <v>208000</v>
      </c>
      <c r="E1297" s="14">
        <v>208000</v>
      </c>
      <c r="G1297" s="15">
        <v>0</v>
      </c>
    </row>
    <row r="1298" spans="1:7" x14ac:dyDescent="0.15">
      <c r="A1298" s="86">
        <v>44498</v>
      </c>
      <c r="B1298" s="18">
        <v>208000</v>
      </c>
      <c r="C1298" s="14">
        <v>211500</v>
      </c>
      <c r="D1298" s="14">
        <v>212500</v>
      </c>
      <c r="E1298" s="14">
        <v>206500</v>
      </c>
      <c r="F1298" t="s">
        <v>1090</v>
      </c>
      <c r="G1298" s="15">
        <v>-9.4999999999999998E-3</v>
      </c>
    </row>
    <row r="1299" spans="1:7" x14ac:dyDescent="0.15">
      <c r="A1299" s="86">
        <v>44497</v>
      </c>
      <c r="B1299" s="18">
        <v>210000</v>
      </c>
      <c r="C1299" s="14">
        <v>212500</v>
      </c>
      <c r="D1299" s="14">
        <v>214000</v>
      </c>
      <c r="E1299" s="14">
        <v>209500</v>
      </c>
      <c r="F1299" t="s">
        <v>1038</v>
      </c>
      <c r="G1299" s="15">
        <v>-1.6400000000000001E-2</v>
      </c>
    </row>
    <row r="1300" spans="1:7" x14ac:dyDescent="0.15">
      <c r="A1300" s="86">
        <v>44496</v>
      </c>
      <c r="B1300" s="18">
        <v>213500</v>
      </c>
      <c r="C1300" s="14">
        <v>214500</v>
      </c>
      <c r="D1300" s="14">
        <v>215000</v>
      </c>
      <c r="E1300" s="14">
        <v>212500</v>
      </c>
      <c r="F1300" t="s">
        <v>1091</v>
      </c>
      <c r="G1300" s="15">
        <v>0</v>
      </c>
    </row>
    <row r="1301" spans="1:7" x14ac:dyDescent="0.15">
      <c r="A1301" s="86">
        <v>44495</v>
      </c>
      <c r="B1301" s="18">
        <v>213500</v>
      </c>
      <c r="C1301" s="14">
        <v>213000</v>
      </c>
      <c r="D1301" s="14">
        <v>214500</v>
      </c>
      <c r="E1301" s="14">
        <v>209000</v>
      </c>
      <c r="F1301" t="s">
        <v>1092</v>
      </c>
      <c r="G1301" s="15">
        <v>1.18E-2</v>
      </c>
    </row>
    <row r="1302" spans="1:7" x14ac:dyDescent="0.15">
      <c r="A1302" s="86">
        <v>44494</v>
      </c>
      <c r="B1302" s="18">
        <v>211000</v>
      </c>
      <c r="C1302" s="14">
        <v>207500</v>
      </c>
      <c r="D1302" s="14">
        <v>212000</v>
      </c>
      <c r="E1302" s="14">
        <v>206000</v>
      </c>
      <c r="F1302" t="s">
        <v>1038</v>
      </c>
      <c r="G1302" s="15">
        <v>1.6899999999999998E-2</v>
      </c>
    </row>
    <row r="1303" spans="1:7" x14ac:dyDescent="0.15">
      <c r="A1303" s="86">
        <v>44493</v>
      </c>
      <c r="B1303" s="18">
        <v>207500</v>
      </c>
      <c r="C1303" s="14">
        <v>207500</v>
      </c>
      <c r="D1303" s="14">
        <v>207500</v>
      </c>
      <c r="E1303" s="14">
        <v>207500</v>
      </c>
      <c r="G1303" s="15">
        <v>0</v>
      </c>
    </row>
    <row r="1304" spans="1:7" x14ac:dyDescent="0.15">
      <c r="A1304" s="86">
        <v>44491</v>
      </c>
      <c r="B1304" s="18">
        <v>207500</v>
      </c>
      <c r="C1304" s="14">
        <v>207000</v>
      </c>
      <c r="D1304" s="14">
        <v>209500</v>
      </c>
      <c r="E1304" s="14">
        <v>206000</v>
      </c>
      <c r="F1304" t="s">
        <v>1093</v>
      </c>
      <c r="G1304" s="15">
        <v>0</v>
      </c>
    </row>
    <row r="1305" spans="1:7" x14ac:dyDescent="0.15">
      <c r="A1305" s="86">
        <v>44490</v>
      </c>
      <c r="B1305" s="18">
        <v>207500</v>
      </c>
      <c r="C1305" s="14">
        <v>210000</v>
      </c>
      <c r="D1305" s="14">
        <v>211000</v>
      </c>
      <c r="E1305" s="14">
        <v>206000</v>
      </c>
      <c r="F1305" t="s">
        <v>1057</v>
      </c>
      <c r="G1305" s="15">
        <v>-7.1999999999999998E-3</v>
      </c>
    </row>
    <row r="1306" spans="1:7" x14ac:dyDescent="0.15">
      <c r="A1306" s="86">
        <v>44489</v>
      </c>
      <c r="B1306" s="18">
        <v>209000</v>
      </c>
      <c r="C1306" s="14">
        <v>210000</v>
      </c>
      <c r="D1306" s="14">
        <v>211000</v>
      </c>
      <c r="E1306" s="14">
        <v>208000</v>
      </c>
      <c r="F1306" t="s">
        <v>1094</v>
      </c>
      <c r="G1306" s="15">
        <v>0</v>
      </c>
    </row>
    <row r="1307" spans="1:7" x14ac:dyDescent="0.15">
      <c r="A1307" s="86">
        <v>44488</v>
      </c>
      <c r="B1307" s="18">
        <v>209000</v>
      </c>
      <c r="C1307" s="14">
        <v>210500</v>
      </c>
      <c r="D1307" s="14">
        <v>212000</v>
      </c>
      <c r="E1307" s="14">
        <v>208000</v>
      </c>
      <c r="F1307" t="s">
        <v>1095</v>
      </c>
      <c r="G1307" s="15">
        <v>-2.3999999999999998E-3</v>
      </c>
    </row>
    <row r="1308" spans="1:7" x14ac:dyDescent="0.15">
      <c r="A1308" s="86">
        <v>44487</v>
      </c>
      <c r="B1308" s="18">
        <v>209500</v>
      </c>
      <c r="C1308" s="14">
        <v>208500</v>
      </c>
      <c r="D1308" s="14">
        <v>210500</v>
      </c>
      <c r="E1308" s="14">
        <v>205000</v>
      </c>
      <c r="F1308" t="s">
        <v>1060</v>
      </c>
      <c r="G1308" s="15">
        <v>4.7999999999999996E-3</v>
      </c>
    </row>
    <row r="1309" spans="1:7" x14ac:dyDescent="0.15">
      <c r="A1309" s="86">
        <v>44486</v>
      </c>
      <c r="B1309" s="18">
        <v>208500</v>
      </c>
      <c r="C1309" s="14">
        <v>208500</v>
      </c>
      <c r="D1309" s="14">
        <v>208500</v>
      </c>
      <c r="E1309" s="14">
        <v>208500</v>
      </c>
      <c r="G1309" s="15">
        <v>0</v>
      </c>
    </row>
    <row r="1310" spans="1:7" x14ac:dyDescent="0.15">
      <c r="A1310" s="86">
        <v>44484</v>
      </c>
      <c r="B1310" s="18">
        <v>208500</v>
      </c>
      <c r="C1310" s="14">
        <v>210500</v>
      </c>
      <c r="D1310" s="14">
        <v>211500</v>
      </c>
      <c r="E1310" s="14">
        <v>208000</v>
      </c>
      <c r="F1310" t="s">
        <v>1096</v>
      </c>
      <c r="G1310" s="15">
        <v>-2.3999999999999998E-3</v>
      </c>
    </row>
    <row r="1311" spans="1:7" x14ac:dyDescent="0.15">
      <c r="A1311" s="86">
        <v>44483</v>
      </c>
      <c r="B1311" s="18">
        <v>209000</v>
      </c>
      <c r="C1311" s="14">
        <v>211000</v>
      </c>
      <c r="D1311" s="14">
        <v>212000</v>
      </c>
      <c r="E1311" s="14">
        <v>208000</v>
      </c>
      <c r="F1311" t="s">
        <v>1084</v>
      </c>
      <c r="G1311" s="15">
        <v>-9.4999999999999998E-3</v>
      </c>
    </row>
    <row r="1312" spans="1:7" x14ac:dyDescent="0.15">
      <c r="A1312" s="86">
        <v>44482</v>
      </c>
      <c r="B1312" s="18">
        <v>211000</v>
      </c>
      <c r="C1312" s="14">
        <v>206500</v>
      </c>
      <c r="D1312" s="14">
        <v>211500</v>
      </c>
      <c r="E1312" s="14">
        <v>206500</v>
      </c>
      <c r="F1312" t="s">
        <v>1097</v>
      </c>
      <c r="G1312" s="15">
        <v>3.1800000000000002E-2</v>
      </c>
    </row>
    <row r="1313" spans="1:7" x14ac:dyDescent="0.15">
      <c r="A1313" s="86">
        <v>44481</v>
      </c>
      <c r="B1313" s="18">
        <v>204500</v>
      </c>
      <c r="C1313" s="14">
        <v>205000</v>
      </c>
      <c r="D1313" s="14">
        <v>206500</v>
      </c>
      <c r="E1313" s="14">
        <v>202000</v>
      </c>
      <c r="F1313" t="s">
        <v>1098</v>
      </c>
      <c r="G1313" s="15">
        <v>-2.3999999999999998E-3</v>
      </c>
    </row>
    <row r="1314" spans="1:7" x14ac:dyDescent="0.15">
      <c r="A1314" s="86">
        <v>44480</v>
      </c>
      <c r="B1314" s="18">
        <v>205000</v>
      </c>
      <c r="C1314" s="14">
        <v>205000</v>
      </c>
      <c r="D1314" s="14">
        <v>205000</v>
      </c>
      <c r="E1314" s="14">
        <v>205000</v>
      </c>
      <c r="G1314" s="15">
        <v>0</v>
      </c>
    </row>
    <row r="1315" spans="1:7" x14ac:dyDescent="0.15">
      <c r="A1315" s="86">
        <v>44477</v>
      </c>
      <c r="B1315" s="18">
        <v>205000</v>
      </c>
      <c r="C1315" s="14">
        <v>203500</v>
      </c>
      <c r="D1315" s="14">
        <v>206500</v>
      </c>
      <c r="E1315" s="14">
        <v>202500</v>
      </c>
      <c r="F1315" t="s">
        <v>1099</v>
      </c>
      <c r="G1315" s="15">
        <v>1.9900000000000001E-2</v>
      </c>
    </row>
    <row r="1316" spans="1:7" x14ac:dyDescent="0.15">
      <c r="A1316" s="86">
        <v>44476</v>
      </c>
      <c r="B1316" s="18">
        <v>201000</v>
      </c>
      <c r="C1316" s="14">
        <v>195000</v>
      </c>
      <c r="D1316" s="14">
        <v>203000</v>
      </c>
      <c r="E1316" s="14">
        <v>195000</v>
      </c>
      <c r="F1316" t="s">
        <v>1065</v>
      </c>
      <c r="G1316" s="15">
        <v>3.61E-2</v>
      </c>
    </row>
    <row r="1317" spans="1:7" x14ac:dyDescent="0.15">
      <c r="A1317" s="86">
        <v>44475</v>
      </c>
      <c r="B1317" s="18">
        <v>194000</v>
      </c>
      <c r="C1317" s="14">
        <v>195000</v>
      </c>
      <c r="D1317" s="14">
        <v>197500</v>
      </c>
      <c r="E1317" s="14">
        <v>192500</v>
      </c>
      <c r="F1317" t="s">
        <v>1100</v>
      </c>
      <c r="G1317" s="15">
        <v>2.5999999999999999E-3</v>
      </c>
    </row>
    <row r="1318" spans="1:7" x14ac:dyDescent="0.15">
      <c r="A1318" s="86">
        <v>44474</v>
      </c>
      <c r="B1318" s="18">
        <v>193500</v>
      </c>
      <c r="C1318" s="14">
        <v>190500</v>
      </c>
      <c r="D1318" s="14">
        <v>195000</v>
      </c>
      <c r="E1318" s="14">
        <v>189000</v>
      </c>
      <c r="F1318" t="s">
        <v>1065</v>
      </c>
      <c r="G1318" s="15">
        <v>0</v>
      </c>
    </row>
    <row r="1319" spans="1:7" x14ac:dyDescent="0.15">
      <c r="A1319" s="86">
        <v>44473</v>
      </c>
      <c r="B1319" s="18">
        <v>193500</v>
      </c>
      <c r="C1319" s="14">
        <v>193500</v>
      </c>
      <c r="D1319" s="14">
        <v>193500</v>
      </c>
      <c r="E1319" s="14">
        <v>193500</v>
      </c>
      <c r="G1319" s="15">
        <v>0</v>
      </c>
    </row>
    <row r="1320" spans="1:7" x14ac:dyDescent="0.15">
      <c r="A1320" s="86">
        <v>44470</v>
      </c>
      <c r="B1320" s="18">
        <v>193500</v>
      </c>
      <c r="C1320" s="14">
        <v>198000</v>
      </c>
      <c r="D1320" s="14">
        <v>199000</v>
      </c>
      <c r="E1320" s="14">
        <v>192000</v>
      </c>
      <c r="F1320" t="s">
        <v>551</v>
      </c>
      <c r="G1320" s="15">
        <v>-3.2500000000000001E-2</v>
      </c>
    </row>
    <row r="1321" spans="1:7" x14ac:dyDescent="0.15">
      <c r="A1321" s="86">
        <v>44469</v>
      </c>
      <c r="B1321" s="18">
        <v>200000</v>
      </c>
      <c r="C1321" s="14">
        <v>200500</v>
      </c>
      <c r="D1321" s="14">
        <v>201000</v>
      </c>
      <c r="E1321" s="14">
        <v>199000</v>
      </c>
      <c r="F1321" t="s">
        <v>1097</v>
      </c>
      <c r="G1321" s="15">
        <v>-7.4000000000000003E-3</v>
      </c>
    </row>
    <row r="1322" spans="1:7" x14ac:dyDescent="0.15">
      <c r="A1322" s="86">
        <v>44468</v>
      </c>
      <c r="B1322" s="18">
        <v>201500</v>
      </c>
      <c r="C1322" s="14">
        <v>198000</v>
      </c>
      <c r="D1322" s="14">
        <v>201500</v>
      </c>
      <c r="E1322" s="14">
        <v>197500</v>
      </c>
      <c r="F1322" t="s">
        <v>1101</v>
      </c>
      <c r="G1322" s="15">
        <v>0</v>
      </c>
    </row>
    <row r="1323" spans="1:7" x14ac:dyDescent="0.15">
      <c r="A1323" s="86">
        <v>44467</v>
      </c>
      <c r="B1323" s="18">
        <v>201500</v>
      </c>
      <c r="C1323" s="14">
        <v>204000</v>
      </c>
      <c r="D1323" s="14">
        <v>204000</v>
      </c>
      <c r="E1323" s="14">
        <v>200500</v>
      </c>
      <c r="F1323" t="s">
        <v>1084</v>
      </c>
      <c r="G1323" s="15">
        <v>-1.23E-2</v>
      </c>
    </row>
    <row r="1324" spans="1:7" x14ac:dyDescent="0.15">
      <c r="A1324" s="86">
        <v>44466</v>
      </c>
      <c r="B1324" s="18">
        <v>204000</v>
      </c>
      <c r="C1324" s="14">
        <v>205000</v>
      </c>
      <c r="D1324" s="14">
        <v>206000</v>
      </c>
      <c r="E1324" s="14">
        <v>203500</v>
      </c>
      <c r="F1324" t="s">
        <v>1102</v>
      </c>
      <c r="G1324" s="15">
        <v>-1.4500000000000001E-2</v>
      </c>
    </row>
    <row r="1325" spans="1:7" x14ac:dyDescent="0.15">
      <c r="A1325" s="86">
        <v>44465</v>
      </c>
      <c r="B1325" s="18">
        <v>207000</v>
      </c>
      <c r="C1325" s="14">
        <v>207000</v>
      </c>
      <c r="D1325" s="14">
        <v>207000</v>
      </c>
      <c r="E1325" s="14">
        <v>207000</v>
      </c>
      <c r="G1325" s="15">
        <v>0</v>
      </c>
    </row>
    <row r="1326" spans="1:7" x14ac:dyDescent="0.15">
      <c r="A1326" s="86">
        <v>44463</v>
      </c>
      <c r="B1326" s="18">
        <v>207000</v>
      </c>
      <c r="C1326" s="14">
        <v>209500</v>
      </c>
      <c r="D1326" s="14">
        <v>210500</v>
      </c>
      <c r="E1326" s="14">
        <v>206000</v>
      </c>
      <c r="F1326" t="s">
        <v>1103</v>
      </c>
      <c r="G1326" s="15">
        <v>-7.1999999999999998E-3</v>
      </c>
    </row>
    <row r="1327" spans="1:7" x14ac:dyDescent="0.15">
      <c r="A1327" s="86">
        <v>44462</v>
      </c>
      <c r="B1327" s="18">
        <v>208500</v>
      </c>
      <c r="C1327" s="14">
        <v>205000</v>
      </c>
      <c r="D1327" s="14">
        <v>209000</v>
      </c>
      <c r="E1327" s="14">
        <v>204500</v>
      </c>
      <c r="F1327" t="s">
        <v>1074</v>
      </c>
      <c r="G1327" s="15">
        <v>-2.3999999999999998E-3</v>
      </c>
    </row>
    <row r="1328" spans="1:7" x14ac:dyDescent="0.15">
      <c r="A1328" s="86">
        <v>44461</v>
      </c>
      <c r="B1328" s="18">
        <v>209000</v>
      </c>
      <c r="C1328" s="14">
        <v>209000</v>
      </c>
      <c r="D1328" s="14">
        <v>209000</v>
      </c>
      <c r="E1328" s="14">
        <v>209000</v>
      </c>
      <c r="G1328" s="15">
        <v>0</v>
      </c>
    </row>
    <row r="1329" spans="1:7" x14ac:dyDescent="0.15">
      <c r="A1329" s="86">
        <v>44456</v>
      </c>
      <c r="B1329" s="18">
        <v>209000</v>
      </c>
      <c r="C1329" s="14">
        <v>208000</v>
      </c>
      <c r="D1329" s="14">
        <v>210000</v>
      </c>
      <c r="E1329" s="14">
        <v>207000</v>
      </c>
      <c r="F1329" t="s">
        <v>1104</v>
      </c>
      <c r="G1329" s="15">
        <v>4.7999999999999996E-3</v>
      </c>
    </row>
    <row r="1330" spans="1:7" x14ac:dyDescent="0.15">
      <c r="A1330" s="86">
        <v>44455</v>
      </c>
      <c r="B1330" s="18">
        <v>208000</v>
      </c>
      <c r="C1330" s="14">
        <v>210000</v>
      </c>
      <c r="D1330" s="14">
        <v>211000</v>
      </c>
      <c r="E1330" s="14">
        <v>206500</v>
      </c>
      <c r="F1330" t="s">
        <v>1105</v>
      </c>
      <c r="G1330" s="15">
        <v>-7.1999999999999998E-3</v>
      </c>
    </row>
    <row r="1331" spans="1:7" x14ac:dyDescent="0.15">
      <c r="A1331" s="86">
        <v>44454</v>
      </c>
      <c r="B1331" s="18">
        <v>209500</v>
      </c>
      <c r="C1331" s="14">
        <v>208500</v>
      </c>
      <c r="D1331" s="14">
        <v>211500</v>
      </c>
      <c r="E1331" s="14">
        <v>208000</v>
      </c>
      <c r="F1331" t="s">
        <v>1074</v>
      </c>
      <c r="G1331" s="15">
        <v>2.3999999999999998E-3</v>
      </c>
    </row>
    <row r="1332" spans="1:7" x14ac:dyDescent="0.15">
      <c r="A1332" s="86">
        <v>44453</v>
      </c>
      <c r="B1332" s="18">
        <v>209000</v>
      </c>
      <c r="C1332" s="14">
        <v>206500</v>
      </c>
      <c r="D1332" s="14">
        <v>211500</v>
      </c>
      <c r="E1332" s="14">
        <v>206000</v>
      </c>
      <c r="F1332" t="s">
        <v>1106</v>
      </c>
      <c r="G1332" s="15">
        <v>1.95E-2</v>
      </c>
    </row>
    <row r="1333" spans="1:7" x14ac:dyDescent="0.15">
      <c r="A1333" s="86">
        <v>44452</v>
      </c>
      <c r="B1333" s="18">
        <v>205000</v>
      </c>
      <c r="C1333" s="14">
        <v>206000</v>
      </c>
      <c r="D1333" s="14">
        <v>206500</v>
      </c>
      <c r="E1333" s="14">
        <v>204000</v>
      </c>
      <c r="F1333" t="s">
        <v>1097</v>
      </c>
      <c r="G1333" s="15">
        <v>-7.3000000000000001E-3</v>
      </c>
    </row>
    <row r="1334" spans="1:7" x14ac:dyDescent="0.15">
      <c r="A1334" s="86">
        <v>44451</v>
      </c>
      <c r="B1334" s="18">
        <v>206500</v>
      </c>
      <c r="C1334" s="14">
        <v>206500</v>
      </c>
      <c r="D1334" s="14">
        <v>206500</v>
      </c>
      <c r="E1334" s="14">
        <v>206500</v>
      </c>
      <c r="G1334" s="15">
        <v>0</v>
      </c>
    </row>
    <row r="1335" spans="1:7" x14ac:dyDescent="0.15">
      <c r="A1335" s="86">
        <v>44449</v>
      </c>
      <c r="B1335" s="18">
        <v>206500</v>
      </c>
      <c r="C1335" s="14">
        <v>208500</v>
      </c>
      <c r="D1335" s="14">
        <v>209500</v>
      </c>
      <c r="E1335" s="14">
        <v>204000</v>
      </c>
      <c r="F1335" t="s">
        <v>1107</v>
      </c>
      <c r="G1335" s="15">
        <v>-9.5999999999999992E-3</v>
      </c>
    </row>
    <row r="1336" spans="1:7" x14ac:dyDescent="0.15">
      <c r="A1336" s="86">
        <v>44448</v>
      </c>
      <c r="B1336" s="18">
        <v>208500</v>
      </c>
      <c r="C1336" s="14">
        <v>212500</v>
      </c>
      <c r="D1336" s="14">
        <v>212500</v>
      </c>
      <c r="E1336" s="14">
        <v>208000</v>
      </c>
      <c r="F1336" t="s">
        <v>1108</v>
      </c>
      <c r="G1336" s="15">
        <v>-2.1100000000000001E-2</v>
      </c>
    </row>
    <row r="1337" spans="1:7" x14ac:dyDescent="0.15">
      <c r="A1337" s="86">
        <v>44447</v>
      </c>
      <c r="B1337" s="18">
        <v>213000</v>
      </c>
      <c r="C1337" s="14">
        <v>211000</v>
      </c>
      <c r="D1337" s="14">
        <v>214500</v>
      </c>
      <c r="E1337" s="14">
        <v>210500</v>
      </c>
      <c r="F1337" t="s">
        <v>1061</v>
      </c>
      <c r="G1337" s="15">
        <v>2.3999999999999998E-3</v>
      </c>
    </row>
    <row r="1338" spans="1:7" x14ac:dyDescent="0.15">
      <c r="A1338" s="86">
        <v>44446</v>
      </c>
      <c r="B1338" s="18">
        <v>212500</v>
      </c>
      <c r="C1338" s="14">
        <v>214500</v>
      </c>
      <c r="D1338" s="14">
        <v>214500</v>
      </c>
      <c r="E1338" s="14">
        <v>211500</v>
      </c>
      <c r="F1338" t="s">
        <v>1109</v>
      </c>
      <c r="G1338" s="15">
        <v>-1.1599999999999999E-2</v>
      </c>
    </row>
    <row r="1339" spans="1:7" x14ac:dyDescent="0.15">
      <c r="A1339" s="86">
        <v>44445</v>
      </c>
      <c r="B1339" s="18">
        <v>215000</v>
      </c>
      <c r="C1339" s="14">
        <v>214500</v>
      </c>
      <c r="D1339" s="14">
        <v>215500</v>
      </c>
      <c r="E1339" s="14">
        <v>213500</v>
      </c>
      <c r="F1339" t="s">
        <v>1110</v>
      </c>
      <c r="G1339" s="15">
        <v>2.3E-3</v>
      </c>
    </row>
    <row r="1340" spans="1:7" x14ac:dyDescent="0.15">
      <c r="A1340" s="86">
        <v>44444</v>
      </c>
      <c r="B1340" s="18">
        <v>214500</v>
      </c>
      <c r="C1340" s="14">
        <v>214500</v>
      </c>
      <c r="D1340" s="14">
        <v>214500</v>
      </c>
      <c r="E1340" s="14">
        <v>214500</v>
      </c>
      <c r="G1340" s="15">
        <v>0</v>
      </c>
    </row>
    <row r="1341" spans="1:7" x14ac:dyDescent="0.15">
      <c r="A1341" s="86">
        <v>44442</v>
      </c>
      <c r="B1341" s="18">
        <v>214500</v>
      </c>
      <c r="C1341" s="14">
        <v>213000</v>
      </c>
      <c r="D1341" s="14">
        <v>215500</v>
      </c>
      <c r="E1341" s="14">
        <v>212000</v>
      </c>
      <c r="F1341" t="s">
        <v>1111</v>
      </c>
      <c r="G1341" s="15">
        <v>1.4200000000000001E-2</v>
      </c>
    </row>
    <row r="1342" spans="1:7" x14ac:dyDescent="0.15">
      <c r="A1342" s="86">
        <v>44441</v>
      </c>
      <c r="B1342" s="18">
        <v>211500</v>
      </c>
      <c r="C1342" s="14">
        <v>214000</v>
      </c>
      <c r="D1342" s="14">
        <v>214500</v>
      </c>
      <c r="E1342" s="14">
        <v>210000</v>
      </c>
      <c r="F1342" t="s">
        <v>1057</v>
      </c>
      <c r="G1342" s="15">
        <v>-1.6299999999999999E-2</v>
      </c>
    </row>
    <row r="1343" spans="1:7" x14ac:dyDescent="0.15">
      <c r="A1343" s="86">
        <v>44440</v>
      </c>
      <c r="B1343" s="18">
        <v>215000</v>
      </c>
      <c r="C1343" s="14">
        <v>213500</v>
      </c>
      <c r="D1343" s="14">
        <v>218000</v>
      </c>
      <c r="E1343" s="14">
        <v>213500</v>
      </c>
      <c r="F1343" t="s">
        <v>1112</v>
      </c>
      <c r="G1343" s="15">
        <v>1.18E-2</v>
      </c>
    </row>
    <row r="1344" spans="1:7" x14ac:dyDescent="0.15">
      <c r="A1344" s="86">
        <v>44439</v>
      </c>
      <c r="B1344" s="18">
        <v>212500</v>
      </c>
      <c r="C1344" s="14">
        <v>210500</v>
      </c>
      <c r="D1344" s="14">
        <v>212500</v>
      </c>
      <c r="E1344" s="14">
        <v>208000</v>
      </c>
      <c r="F1344" t="s">
        <v>1112</v>
      </c>
      <c r="G1344" s="15">
        <v>1.1900000000000001E-2</v>
      </c>
    </row>
    <row r="1345" spans="1:7" x14ac:dyDescent="0.15">
      <c r="A1345" s="86">
        <v>44438</v>
      </c>
      <c r="B1345" s="18">
        <v>210000</v>
      </c>
      <c r="C1345" s="14">
        <v>211000</v>
      </c>
      <c r="D1345" s="14">
        <v>212500</v>
      </c>
      <c r="E1345" s="14">
        <v>210000</v>
      </c>
      <c r="F1345" t="s">
        <v>1113</v>
      </c>
      <c r="G1345" s="15">
        <v>7.1999999999999998E-3</v>
      </c>
    </row>
    <row r="1346" spans="1:7" x14ac:dyDescent="0.15">
      <c r="A1346" s="86">
        <v>44437</v>
      </c>
      <c r="B1346" s="18">
        <v>208500</v>
      </c>
      <c r="C1346" s="14">
        <v>208500</v>
      </c>
      <c r="D1346" s="14">
        <v>208500</v>
      </c>
      <c r="E1346" s="14">
        <v>208500</v>
      </c>
      <c r="G1346" s="15">
        <v>0</v>
      </c>
    </row>
    <row r="1347" spans="1:7" x14ac:dyDescent="0.15">
      <c r="A1347" s="86">
        <v>44435</v>
      </c>
      <c r="B1347" s="18">
        <v>208500</v>
      </c>
      <c r="C1347" s="14">
        <v>209000</v>
      </c>
      <c r="D1347" s="14">
        <v>209500</v>
      </c>
      <c r="E1347" s="14">
        <v>205000</v>
      </c>
      <c r="F1347" t="s">
        <v>1114</v>
      </c>
      <c r="G1347" s="15">
        <v>-7.1000000000000004E-3</v>
      </c>
    </row>
    <row r="1348" spans="1:7" x14ac:dyDescent="0.15">
      <c r="A1348" s="86">
        <v>44434</v>
      </c>
      <c r="B1348" s="18">
        <v>210000</v>
      </c>
      <c r="C1348" s="14">
        <v>209500</v>
      </c>
      <c r="D1348" s="14">
        <v>212000</v>
      </c>
      <c r="E1348" s="14">
        <v>208000</v>
      </c>
      <c r="F1348" t="s">
        <v>1115</v>
      </c>
      <c r="G1348" s="15">
        <v>2.3999999999999998E-3</v>
      </c>
    </row>
    <row r="1349" spans="1:7" x14ac:dyDescent="0.15">
      <c r="A1349" s="86">
        <v>44433</v>
      </c>
      <c r="B1349" s="18">
        <v>209500</v>
      </c>
      <c r="C1349" s="14">
        <v>210000</v>
      </c>
      <c r="D1349" s="14">
        <v>212500</v>
      </c>
      <c r="E1349" s="14">
        <v>207500</v>
      </c>
      <c r="F1349" t="s">
        <v>1116</v>
      </c>
      <c r="G1349" s="15">
        <v>0</v>
      </c>
    </row>
    <row r="1350" spans="1:7" x14ac:dyDescent="0.15">
      <c r="A1350" s="86">
        <v>44432</v>
      </c>
      <c r="B1350" s="18">
        <v>209500</v>
      </c>
      <c r="C1350" s="14">
        <v>206000</v>
      </c>
      <c r="D1350" s="14">
        <v>211000</v>
      </c>
      <c r="E1350" s="14">
        <v>206000</v>
      </c>
      <c r="F1350" t="s">
        <v>1117</v>
      </c>
      <c r="G1350" s="15">
        <v>2.7E-2</v>
      </c>
    </row>
    <row r="1351" spans="1:7" x14ac:dyDescent="0.15">
      <c r="A1351" s="86">
        <v>44431</v>
      </c>
      <c r="B1351" s="18">
        <v>204000</v>
      </c>
      <c r="C1351" s="14">
        <v>203000</v>
      </c>
      <c r="D1351" s="14">
        <v>206000</v>
      </c>
      <c r="E1351" s="14">
        <v>201500</v>
      </c>
      <c r="F1351" t="s">
        <v>1118</v>
      </c>
      <c r="G1351" s="15">
        <v>1.24E-2</v>
      </c>
    </row>
    <row r="1352" spans="1:7" x14ac:dyDescent="0.15">
      <c r="A1352" s="86">
        <v>44430</v>
      </c>
      <c r="B1352" s="18">
        <v>201500</v>
      </c>
      <c r="C1352" s="14">
        <v>201500</v>
      </c>
      <c r="D1352" s="14">
        <v>201500</v>
      </c>
      <c r="E1352" s="14">
        <v>201500</v>
      </c>
      <c r="G1352" s="15">
        <v>0</v>
      </c>
    </row>
    <row r="1353" spans="1:7" x14ac:dyDescent="0.15">
      <c r="A1353" s="86">
        <v>44428</v>
      </c>
      <c r="B1353" s="18">
        <v>201500</v>
      </c>
      <c r="C1353" s="14">
        <v>207000</v>
      </c>
      <c r="D1353" s="14">
        <v>208000</v>
      </c>
      <c r="E1353" s="14">
        <v>200000</v>
      </c>
      <c r="F1353" t="s">
        <v>221</v>
      </c>
      <c r="G1353" s="15">
        <v>-2.4199999999999999E-2</v>
      </c>
    </row>
    <row r="1354" spans="1:7" x14ac:dyDescent="0.15">
      <c r="A1354" s="86">
        <v>44427</v>
      </c>
      <c r="B1354" s="18">
        <v>206500</v>
      </c>
      <c r="C1354" s="14">
        <v>212500</v>
      </c>
      <c r="D1354" s="14">
        <v>212500</v>
      </c>
      <c r="E1354" s="14">
        <v>205000</v>
      </c>
      <c r="F1354" t="s">
        <v>1119</v>
      </c>
      <c r="G1354" s="15">
        <v>-2.8199999999999999E-2</v>
      </c>
    </row>
    <row r="1355" spans="1:7" x14ac:dyDescent="0.15">
      <c r="A1355" s="86">
        <v>44426</v>
      </c>
      <c r="B1355" s="18">
        <v>212500</v>
      </c>
      <c r="C1355" s="14">
        <v>211000</v>
      </c>
      <c r="D1355" s="14">
        <v>214000</v>
      </c>
      <c r="E1355" s="14">
        <v>209000</v>
      </c>
      <c r="F1355" t="s">
        <v>1120</v>
      </c>
      <c r="G1355" s="15">
        <v>-2.3E-3</v>
      </c>
    </row>
    <row r="1356" spans="1:7" x14ac:dyDescent="0.15">
      <c r="A1356" s="86">
        <v>44425</v>
      </c>
      <c r="B1356" s="18">
        <v>213000</v>
      </c>
      <c r="C1356" s="14">
        <v>216000</v>
      </c>
      <c r="D1356" s="14">
        <v>217000</v>
      </c>
      <c r="E1356" s="14">
        <v>211000</v>
      </c>
      <c r="F1356" t="s">
        <v>1121</v>
      </c>
      <c r="G1356" s="15">
        <v>-1.84E-2</v>
      </c>
    </row>
    <row r="1357" spans="1:7" x14ac:dyDescent="0.15">
      <c r="A1357" s="86">
        <v>44424</v>
      </c>
      <c r="B1357" s="18">
        <v>217000</v>
      </c>
      <c r="C1357" s="14">
        <v>217000</v>
      </c>
      <c r="D1357" s="14">
        <v>217000</v>
      </c>
      <c r="E1357" s="14">
        <v>217000</v>
      </c>
      <c r="G1357" s="15">
        <v>0</v>
      </c>
    </row>
    <row r="1358" spans="1:7" x14ac:dyDescent="0.15">
      <c r="A1358" s="86">
        <v>44421</v>
      </c>
      <c r="B1358" s="18">
        <v>217000</v>
      </c>
      <c r="C1358" s="14">
        <v>221500</v>
      </c>
      <c r="D1358" s="14">
        <v>221500</v>
      </c>
      <c r="E1358" s="14">
        <v>214000</v>
      </c>
      <c r="F1358" t="s">
        <v>1122</v>
      </c>
      <c r="G1358" s="15">
        <v>-9.1000000000000004E-3</v>
      </c>
    </row>
    <row r="1359" spans="1:7" x14ac:dyDescent="0.15">
      <c r="A1359" s="86">
        <v>44420</v>
      </c>
      <c r="B1359" s="18">
        <v>219000</v>
      </c>
      <c r="C1359" s="14">
        <v>220000</v>
      </c>
      <c r="D1359" s="14">
        <v>224000</v>
      </c>
      <c r="E1359" s="14">
        <v>219000</v>
      </c>
      <c r="F1359" t="s">
        <v>1123</v>
      </c>
      <c r="G1359" s="15">
        <v>2.3E-3</v>
      </c>
    </row>
    <row r="1360" spans="1:7" x14ac:dyDescent="0.15">
      <c r="A1360" s="86">
        <v>44419</v>
      </c>
      <c r="B1360" s="18">
        <v>218500</v>
      </c>
      <c r="C1360" s="14">
        <v>219000</v>
      </c>
      <c r="D1360" s="14">
        <v>220500</v>
      </c>
      <c r="E1360" s="14">
        <v>218000</v>
      </c>
      <c r="F1360" t="s">
        <v>1124</v>
      </c>
      <c r="G1360" s="15">
        <v>-2.3E-3</v>
      </c>
    </row>
    <row r="1361" spans="1:7" x14ac:dyDescent="0.15">
      <c r="A1361" s="86">
        <v>44418</v>
      </c>
      <c r="B1361" s="18">
        <v>219000</v>
      </c>
      <c r="C1361" s="14">
        <v>221000</v>
      </c>
      <c r="D1361" s="14">
        <v>221000</v>
      </c>
      <c r="E1361" s="14">
        <v>218500</v>
      </c>
      <c r="F1361" t="s">
        <v>1123</v>
      </c>
      <c r="G1361" s="15">
        <v>-8.9999999999999993E-3</v>
      </c>
    </row>
    <row r="1362" spans="1:7" x14ac:dyDescent="0.15">
      <c r="A1362" s="86">
        <v>44417</v>
      </c>
      <c r="B1362" s="18">
        <v>221000</v>
      </c>
      <c r="C1362" s="14">
        <v>220500</v>
      </c>
      <c r="D1362" s="14">
        <v>222000</v>
      </c>
      <c r="E1362" s="14">
        <v>220000</v>
      </c>
      <c r="F1362" t="s">
        <v>1125</v>
      </c>
      <c r="G1362" s="15">
        <v>-6.7000000000000002E-3</v>
      </c>
    </row>
    <row r="1363" spans="1:7" x14ac:dyDescent="0.15">
      <c r="A1363" s="86">
        <v>44416</v>
      </c>
      <c r="B1363" s="18">
        <v>222500</v>
      </c>
      <c r="C1363" s="14">
        <v>222500</v>
      </c>
      <c r="D1363" s="14">
        <v>222500</v>
      </c>
      <c r="E1363" s="14">
        <v>222500</v>
      </c>
      <c r="G1363" s="15">
        <v>0</v>
      </c>
    </row>
    <row r="1364" spans="1:7" x14ac:dyDescent="0.15">
      <c r="A1364" s="86">
        <v>44414</v>
      </c>
      <c r="B1364" s="18">
        <v>222500</v>
      </c>
      <c r="C1364" s="14">
        <v>224500</v>
      </c>
      <c r="D1364" s="14">
        <v>225000</v>
      </c>
      <c r="E1364" s="14">
        <v>222500</v>
      </c>
      <c r="F1364" t="s">
        <v>1126</v>
      </c>
      <c r="G1364" s="15">
        <v>-2.2000000000000001E-3</v>
      </c>
    </row>
    <row r="1365" spans="1:7" x14ac:dyDescent="0.15">
      <c r="A1365" s="86">
        <v>44413</v>
      </c>
      <c r="B1365" s="18">
        <v>223000</v>
      </c>
      <c r="C1365" s="14">
        <v>223000</v>
      </c>
      <c r="D1365" s="14">
        <v>224500</v>
      </c>
      <c r="E1365" s="14">
        <v>222500</v>
      </c>
      <c r="F1365" t="s">
        <v>1127</v>
      </c>
      <c r="G1365" s="15">
        <v>-8.8999999999999999E-3</v>
      </c>
    </row>
    <row r="1366" spans="1:7" x14ac:dyDescent="0.15">
      <c r="A1366" s="86">
        <v>44412</v>
      </c>
      <c r="B1366" s="18">
        <v>225000</v>
      </c>
      <c r="C1366" s="14">
        <v>224500</v>
      </c>
      <c r="D1366" s="14">
        <v>225000</v>
      </c>
      <c r="E1366" s="14">
        <v>222500</v>
      </c>
      <c r="F1366" t="s">
        <v>1128</v>
      </c>
      <c r="G1366" s="15">
        <v>6.7000000000000002E-3</v>
      </c>
    </row>
    <row r="1367" spans="1:7" x14ac:dyDescent="0.15">
      <c r="A1367" s="86">
        <v>44411</v>
      </c>
      <c r="B1367" s="18">
        <v>223500</v>
      </c>
      <c r="C1367" s="14">
        <v>219000</v>
      </c>
      <c r="D1367" s="14">
        <v>223500</v>
      </c>
      <c r="E1367" s="14">
        <v>218000</v>
      </c>
      <c r="F1367" t="s">
        <v>1064</v>
      </c>
      <c r="G1367" s="15">
        <v>1.5900000000000001E-2</v>
      </c>
    </row>
    <row r="1368" spans="1:7" x14ac:dyDescent="0.15">
      <c r="A1368" s="86">
        <v>44410</v>
      </c>
      <c r="B1368" s="18">
        <v>220000</v>
      </c>
      <c r="C1368" s="14">
        <v>218000</v>
      </c>
      <c r="D1368" s="14">
        <v>220500</v>
      </c>
      <c r="E1368" s="14">
        <v>217000</v>
      </c>
      <c r="F1368" t="s">
        <v>1071</v>
      </c>
      <c r="G1368" s="15">
        <v>9.1999999999999998E-3</v>
      </c>
    </row>
    <row r="1369" spans="1:7" x14ac:dyDescent="0.15">
      <c r="A1369" s="86">
        <v>44409</v>
      </c>
      <c r="B1369" s="18">
        <v>218000</v>
      </c>
      <c r="C1369" s="14">
        <v>218000</v>
      </c>
      <c r="D1369" s="14">
        <v>218000</v>
      </c>
      <c r="E1369" s="14">
        <v>218000</v>
      </c>
      <c r="G1369" s="15">
        <v>0</v>
      </c>
    </row>
    <row r="1370" spans="1:7" x14ac:dyDescent="0.15">
      <c r="A1370" s="86">
        <v>44407</v>
      </c>
      <c r="B1370" s="18">
        <v>218000</v>
      </c>
      <c r="C1370" s="14">
        <v>222000</v>
      </c>
      <c r="D1370" s="14">
        <v>222000</v>
      </c>
      <c r="E1370" s="14">
        <v>218000</v>
      </c>
      <c r="F1370" t="s">
        <v>1129</v>
      </c>
      <c r="G1370" s="15">
        <v>-1.7999999999999999E-2</v>
      </c>
    </row>
    <row r="1371" spans="1:7" x14ac:dyDescent="0.15">
      <c r="A1371" s="86">
        <v>44406</v>
      </c>
      <c r="B1371" s="18">
        <v>222000</v>
      </c>
      <c r="C1371" s="14">
        <v>223000</v>
      </c>
      <c r="D1371" s="14">
        <v>224000</v>
      </c>
      <c r="E1371" s="14">
        <v>222000</v>
      </c>
      <c r="F1371" t="s">
        <v>1045</v>
      </c>
      <c r="G1371" s="15">
        <v>-2.2000000000000001E-3</v>
      </c>
    </row>
    <row r="1372" spans="1:7" x14ac:dyDescent="0.15">
      <c r="A1372" s="86">
        <v>44405</v>
      </c>
      <c r="B1372" s="18">
        <v>222500</v>
      </c>
      <c r="C1372" s="14">
        <v>225000</v>
      </c>
      <c r="D1372" s="14">
        <v>225000</v>
      </c>
      <c r="E1372" s="14">
        <v>221000</v>
      </c>
      <c r="F1372" t="s">
        <v>1072</v>
      </c>
      <c r="G1372" s="15">
        <v>-1.11E-2</v>
      </c>
    </row>
    <row r="1373" spans="1:7" x14ac:dyDescent="0.15">
      <c r="A1373" s="86">
        <v>44404</v>
      </c>
      <c r="B1373" s="18">
        <v>225000</v>
      </c>
      <c r="C1373" s="14">
        <v>225500</v>
      </c>
      <c r="D1373" s="14">
        <v>226500</v>
      </c>
      <c r="E1373" s="14">
        <v>224000</v>
      </c>
      <c r="F1373" t="s">
        <v>1130</v>
      </c>
      <c r="G1373" s="15">
        <v>2.2000000000000001E-3</v>
      </c>
    </row>
    <row r="1374" spans="1:7" x14ac:dyDescent="0.15">
      <c r="A1374" s="86">
        <v>44403</v>
      </c>
      <c r="B1374" s="18">
        <v>224500</v>
      </c>
      <c r="C1374" s="14">
        <v>225500</v>
      </c>
      <c r="D1374" s="14">
        <v>226500</v>
      </c>
      <c r="E1374" s="14">
        <v>224000</v>
      </c>
      <c r="F1374" t="s">
        <v>1131</v>
      </c>
      <c r="G1374" s="15">
        <v>-4.4000000000000003E-3</v>
      </c>
    </row>
    <row r="1375" spans="1:7" x14ac:dyDescent="0.15">
      <c r="A1375" s="86">
        <v>44402</v>
      </c>
      <c r="B1375" s="18">
        <v>225500</v>
      </c>
      <c r="C1375" s="14">
        <v>225500</v>
      </c>
      <c r="D1375" s="14">
        <v>225500</v>
      </c>
      <c r="E1375" s="14">
        <v>225500</v>
      </c>
      <c r="G1375" s="15">
        <v>0</v>
      </c>
    </row>
    <row r="1376" spans="1:7" x14ac:dyDescent="0.15">
      <c r="A1376" s="86">
        <v>44400</v>
      </c>
      <c r="B1376" s="18">
        <v>225500</v>
      </c>
      <c r="C1376" s="14">
        <v>229000</v>
      </c>
      <c r="D1376" s="14">
        <v>229000</v>
      </c>
      <c r="E1376" s="14">
        <v>224000</v>
      </c>
      <c r="F1376" t="s">
        <v>115</v>
      </c>
      <c r="G1376" s="15">
        <v>-1.3100000000000001E-2</v>
      </c>
    </row>
    <row r="1377" spans="1:7" x14ac:dyDescent="0.15">
      <c r="A1377" s="86">
        <v>44399</v>
      </c>
      <c r="B1377" s="18">
        <v>228500</v>
      </c>
      <c r="C1377" s="14">
        <v>228500</v>
      </c>
      <c r="D1377" s="14">
        <v>231500</v>
      </c>
      <c r="E1377" s="14">
        <v>227500</v>
      </c>
      <c r="F1377" t="s">
        <v>1132</v>
      </c>
      <c r="G1377" s="15">
        <v>2.2000000000000001E-3</v>
      </c>
    </row>
    <row r="1378" spans="1:7" x14ac:dyDescent="0.15">
      <c r="A1378" s="86">
        <v>44398</v>
      </c>
      <c r="B1378" s="18">
        <v>228000</v>
      </c>
      <c r="C1378" s="14">
        <v>232000</v>
      </c>
      <c r="D1378" s="14">
        <v>232000</v>
      </c>
      <c r="E1378" s="14">
        <v>227500</v>
      </c>
      <c r="F1378" t="s">
        <v>1038</v>
      </c>
      <c r="G1378" s="15">
        <v>4.4000000000000003E-3</v>
      </c>
    </row>
    <row r="1379" spans="1:7" x14ac:dyDescent="0.15">
      <c r="A1379" s="86">
        <v>44397</v>
      </c>
      <c r="B1379" s="18">
        <v>227000</v>
      </c>
      <c r="C1379" s="14">
        <v>225500</v>
      </c>
      <c r="D1379" s="14">
        <v>229500</v>
      </c>
      <c r="E1379" s="14">
        <v>225000</v>
      </c>
      <c r="F1379" t="s">
        <v>1038</v>
      </c>
      <c r="G1379" s="15">
        <v>-2.2000000000000001E-3</v>
      </c>
    </row>
    <row r="1380" spans="1:7" x14ac:dyDescent="0.15">
      <c r="A1380" s="86">
        <v>44396</v>
      </c>
      <c r="B1380" s="18">
        <v>227500</v>
      </c>
      <c r="C1380" s="14">
        <v>228000</v>
      </c>
      <c r="D1380" s="14">
        <v>228500</v>
      </c>
      <c r="E1380" s="14">
        <v>227000</v>
      </c>
      <c r="F1380" t="s">
        <v>1097</v>
      </c>
      <c r="G1380" s="15">
        <v>-1.09E-2</v>
      </c>
    </row>
    <row r="1381" spans="1:7" x14ac:dyDescent="0.15">
      <c r="A1381" s="86">
        <v>44395</v>
      </c>
      <c r="B1381" s="18">
        <v>230000</v>
      </c>
      <c r="C1381" s="14">
        <v>230000</v>
      </c>
      <c r="D1381" s="14">
        <v>230000</v>
      </c>
      <c r="E1381" s="14">
        <v>230000</v>
      </c>
      <c r="G1381" s="15">
        <v>0</v>
      </c>
    </row>
    <row r="1382" spans="1:7" x14ac:dyDescent="0.15">
      <c r="A1382" s="86">
        <v>44393</v>
      </c>
      <c r="B1382" s="18">
        <v>230000</v>
      </c>
      <c r="C1382" s="14">
        <v>230000</v>
      </c>
      <c r="D1382" s="14">
        <v>230500</v>
      </c>
      <c r="E1382" s="14">
        <v>228000</v>
      </c>
      <c r="F1382" t="s">
        <v>1133</v>
      </c>
      <c r="G1382" s="15">
        <v>-6.4999999999999997E-3</v>
      </c>
    </row>
    <row r="1383" spans="1:7" x14ac:dyDescent="0.15">
      <c r="A1383" s="86">
        <v>44392</v>
      </c>
      <c r="B1383" s="18">
        <v>231500</v>
      </c>
      <c r="C1383" s="14">
        <v>229500</v>
      </c>
      <c r="D1383" s="14">
        <v>232500</v>
      </c>
      <c r="E1383" s="14">
        <v>229500</v>
      </c>
      <c r="F1383" t="s">
        <v>1134</v>
      </c>
      <c r="G1383" s="15">
        <v>6.4999999999999997E-3</v>
      </c>
    </row>
    <row r="1384" spans="1:7" x14ac:dyDescent="0.15">
      <c r="A1384" s="86">
        <v>44391</v>
      </c>
      <c r="B1384" s="18">
        <v>230000</v>
      </c>
      <c r="C1384" s="14">
        <v>230500</v>
      </c>
      <c r="D1384" s="14">
        <v>232500</v>
      </c>
      <c r="E1384" s="14">
        <v>228500</v>
      </c>
      <c r="F1384" t="s">
        <v>1060</v>
      </c>
      <c r="G1384" s="15">
        <v>0</v>
      </c>
    </row>
    <row r="1385" spans="1:7" x14ac:dyDescent="0.15">
      <c r="A1385" s="86">
        <v>44390</v>
      </c>
      <c r="B1385" s="18">
        <v>230000</v>
      </c>
      <c r="C1385" s="14">
        <v>230000</v>
      </c>
      <c r="D1385" s="14">
        <v>231500</v>
      </c>
      <c r="E1385" s="14">
        <v>229000</v>
      </c>
      <c r="F1385" t="s">
        <v>1135</v>
      </c>
      <c r="G1385" s="15">
        <v>0</v>
      </c>
    </row>
    <row r="1386" spans="1:7" x14ac:dyDescent="0.15">
      <c r="A1386" s="86">
        <v>44389</v>
      </c>
      <c r="B1386" s="18">
        <v>230000</v>
      </c>
      <c r="C1386" s="14">
        <v>228500</v>
      </c>
      <c r="D1386" s="14">
        <v>232000</v>
      </c>
      <c r="E1386" s="14">
        <v>228500</v>
      </c>
      <c r="F1386" t="s">
        <v>1068</v>
      </c>
      <c r="G1386" s="15">
        <v>1.77E-2</v>
      </c>
    </row>
    <row r="1387" spans="1:7" x14ac:dyDescent="0.15">
      <c r="A1387" s="86">
        <v>44388</v>
      </c>
      <c r="B1387" s="18">
        <v>226000</v>
      </c>
      <c r="C1387" s="14">
        <v>226000</v>
      </c>
      <c r="D1387" s="14">
        <v>226000</v>
      </c>
      <c r="E1387" s="14">
        <v>226000</v>
      </c>
      <c r="G1387" s="15">
        <v>0</v>
      </c>
    </row>
    <row r="1388" spans="1:7" x14ac:dyDescent="0.15">
      <c r="A1388" s="86">
        <v>44386</v>
      </c>
      <c r="B1388" s="18">
        <v>226000</v>
      </c>
      <c r="C1388" s="14">
        <v>227500</v>
      </c>
      <c r="D1388" s="14">
        <v>229000</v>
      </c>
      <c r="E1388" s="14">
        <v>225000</v>
      </c>
      <c r="F1388" t="s">
        <v>106</v>
      </c>
      <c r="G1388" s="15">
        <v>-1.5299999999999999E-2</v>
      </c>
    </row>
    <row r="1389" spans="1:7" x14ac:dyDescent="0.15">
      <c r="A1389" s="86">
        <v>44385</v>
      </c>
      <c r="B1389" s="18">
        <v>229500</v>
      </c>
      <c r="C1389" s="14">
        <v>232500</v>
      </c>
      <c r="D1389" s="14">
        <v>233000</v>
      </c>
      <c r="E1389" s="14">
        <v>229000</v>
      </c>
      <c r="F1389" t="s">
        <v>1097</v>
      </c>
      <c r="G1389" s="15">
        <v>-1.0800000000000001E-2</v>
      </c>
    </row>
    <row r="1390" spans="1:7" x14ac:dyDescent="0.15">
      <c r="A1390" s="86">
        <v>44384</v>
      </c>
      <c r="B1390" s="18">
        <v>232000</v>
      </c>
      <c r="C1390" s="14">
        <v>235000</v>
      </c>
      <c r="D1390" s="14">
        <v>235000</v>
      </c>
      <c r="E1390" s="14">
        <v>232000</v>
      </c>
      <c r="F1390" t="s">
        <v>1136</v>
      </c>
      <c r="G1390" s="15">
        <v>-1.6899999999999998E-2</v>
      </c>
    </row>
    <row r="1391" spans="1:7" x14ac:dyDescent="0.15">
      <c r="A1391" s="86">
        <v>44383</v>
      </c>
      <c r="B1391" s="18">
        <v>236000</v>
      </c>
      <c r="C1391" s="14">
        <v>236500</v>
      </c>
      <c r="D1391" s="14">
        <v>238000</v>
      </c>
      <c r="E1391" s="14">
        <v>235500</v>
      </c>
      <c r="F1391" t="s">
        <v>1137</v>
      </c>
      <c r="G1391" s="15">
        <v>0</v>
      </c>
    </row>
    <row r="1392" spans="1:7" x14ac:dyDescent="0.15">
      <c r="A1392" s="86">
        <v>44382</v>
      </c>
      <c r="B1392" s="18">
        <v>236000</v>
      </c>
      <c r="C1392" s="14">
        <v>239000</v>
      </c>
      <c r="D1392" s="14">
        <v>239500</v>
      </c>
      <c r="E1392" s="14">
        <v>235500</v>
      </c>
      <c r="F1392" t="s">
        <v>1074</v>
      </c>
      <c r="G1392" s="15">
        <v>-1.26E-2</v>
      </c>
    </row>
    <row r="1393" spans="1:7" x14ac:dyDescent="0.15">
      <c r="A1393" s="86">
        <v>44381</v>
      </c>
      <c r="B1393" s="18">
        <v>239000</v>
      </c>
      <c r="C1393" s="14">
        <v>239000</v>
      </c>
      <c r="D1393" s="14">
        <v>239000</v>
      </c>
      <c r="E1393" s="14">
        <v>239000</v>
      </c>
      <c r="G1393" s="15">
        <v>0</v>
      </c>
    </row>
    <row r="1394" spans="1:7" x14ac:dyDescent="0.15">
      <c r="A1394" s="86">
        <v>44379</v>
      </c>
      <c r="B1394" s="18">
        <v>239000</v>
      </c>
      <c r="C1394" s="14">
        <v>243500</v>
      </c>
      <c r="D1394" s="14">
        <v>243500</v>
      </c>
      <c r="E1394" s="14">
        <v>239000</v>
      </c>
      <c r="F1394" t="s">
        <v>1138</v>
      </c>
      <c r="G1394" s="15">
        <v>-1.24E-2</v>
      </c>
    </row>
    <row r="1395" spans="1:7" x14ac:dyDescent="0.15">
      <c r="A1395" s="86">
        <v>44378</v>
      </c>
      <c r="B1395" s="18">
        <v>242000</v>
      </c>
      <c r="C1395" s="14">
        <v>238500</v>
      </c>
      <c r="D1395" s="14">
        <v>242500</v>
      </c>
      <c r="E1395" s="14">
        <v>236500</v>
      </c>
      <c r="F1395" t="s">
        <v>1139</v>
      </c>
      <c r="G1395" s="15">
        <v>1.04E-2</v>
      </c>
    </row>
    <row r="1396" spans="1:7" x14ac:dyDescent="0.15">
      <c r="A1396" s="86">
        <v>44377</v>
      </c>
      <c r="B1396" s="18">
        <v>239500</v>
      </c>
      <c r="C1396" s="14">
        <v>240000</v>
      </c>
      <c r="D1396" s="14">
        <v>240500</v>
      </c>
      <c r="E1396" s="14">
        <v>238500</v>
      </c>
      <c r="F1396" t="s">
        <v>1075</v>
      </c>
      <c r="G1396" s="15">
        <v>0</v>
      </c>
    </row>
    <row r="1397" spans="1:7" x14ac:dyDescent="0.15">
      <c r="A1397" s="86">
        <v>44376</v>
      </c>
      <c r="B1397" s="18">
        <v>239500</v>
      </c>
      <c r="C1397" s="14">
        <v>240500</v>
      </c>
      <c r="D1397" s="14">
        <v>242500</v>
      </c>
      <c r="E1397" s="14">
        <v>239000</v>
      </c>
      <c r="F1397" t="s">
        <v>1140</v>
      </c>
      <c r="G1397" s="15">
        <v>-6.1999999999999998E-3</v>
      </c>
    </row>
    <row r="1398" spans="1:7" x14ac:dyDescent="0.15">
      <c r="A1398" s="86">
        <v>44375</v>
      </c>
      <c r="B1398" s="18">
        <v>241000</v>
      </c>
      <c r="C1398" s="14">
        <v>244000</v>
      </c>
      <c r="D1398" s="14">
        <v>244500</v>
      </c>
      <c r="E1398" s="14">
        <v>240000</v>
      </c>
      <c r="F1398" t="s">
        <v>1141</v>
      </c>
      <c r="G1398" s="15">
        <v>-8.2000000000000007E-3</v>
      </c>
    </row>
    <row r="1399" spans="1:7" x14ac:dyDescent="0.15">
      <c r="A1399" s="86">
        <v>44374</v>
      </c>
      <c r="B1399" s="18">
        <v>243000</v>
      </c>
      <c r="C1399" s="14">
        <v>243000</v>
      </c>
      <c r="D1399" s="14">
        <v>243000</v>
      </c>
      <c r="E1399" s="14">
        <v>243000</v>
      </c>
      <c r="G1399" s="15">
        <v>0</v>
      </c>
    </row>
    <row r="1400" spans="1:7" x14ac:dyDescent="0.15">
      <c r="A1400" s="86">
        <v>44372</v>
      </c>
      <c r="B1400" s="18">
        <v>243000</v>
      </c>
      <c r="C1400" s="14">
        <v>243500</v>
      </c>
      <c r="D1400" s="14">
        <v>244000</v>
      </c>
      <c r="E1400" s="14">
        <v>241000</v>
      </c>
      <c r="F1400" t="s">
        <v>1142</v>
      </c>
      <c r="G1400" s="15">
        <v>2.0999999999999999E-3</v>
      </c>
    </row>
    <row r="1401" spans="1:7" x14ac:dyDescent="0.15">
      <c r="A1401" s="86">
        <v>44371</v>
      </c>
      <c r="B1401" s="18">
        <v>242500</v>
      </c>
      <c r="C1401" s="14">
        <v>243000</v>
      </c>
      <c r="D1401" s="14">
        <v>249000</v>
      </c>
      <c r="E1401" s="14">
        <v>241000</v>
      </c>
      <c r="F1401" t="s">
        <v>1121</v>
      </c>
      <c r="G1401" s="15">
        <v>0</v>
      </c>
    </row>
    <row r="1402" spans="1:7" x14ac:dyDescent="0.15">
      <c r="A1402" s="86">
        <v>44370</v>
      </c>
      <c r="B1402" s="18">
        <v>242500</v>
      </c>
      <c r="C1402" s="14">
        <v>242000</v>
      </c>
      <c r="D1402" s="14">
        <v>243000</v>
      </c>
      <c r="E1402" s="14">
        <v>239000</v>
      </c>
      <c r="F1402" t="s">
        <v>1143</v>
      </c>
      <c r="G1402" s="15">
        <v>6.1999999999999998E-3</v>
      </c>
    </row>
    <row r="1403" spans="1:7" x14ac:dyDescent="0.15">
      <c r="A1403" s="86">
        <v>44369</v>
      </c>
      <c r="B1403" s="18">
        <v>241000</v>
      </c>
      <c r="C1403" s="14">
        <v>235000</v>
      </c>
      <c r="D1403" s="14">
        <v>243000</v>
      </c>
      <c r="E1403" s="14">
        <v>235000</v>
      </c>
      <c r="F1403" t="s">
        <v>1110</v>
      </c>
      <c r="G1403" s="15">
        <v>3.4299999999999997E-2</v>
      </c>
    </row>
    <row r="1404" spans="1:7" x14ac:dyDescent="0.15">
      <c r="A1404" s="86">
        <v>44368</v>
      </c>
      <c r="B1404" s="18">
        <v>233000</v>
      </c>
      <c r="C1404" s="14">
        <v>234000</v>
      </c>
      <c r="D1404" s="14">
        <v>236000</v>
      </c>
      <c r="E1404" s="14">
        <v>232000</v>
      </c>
      <c r="F1404" t="s">
        <v>1144</v>
      </c>
      <c r="G1404" s="15">
        <v>-8.5000000000000006E-3</v>
      </c>
    </row>
    <row r="1405" spans="1:7" x14ac:dyDescent="0.15">
      <c r="A1405" s="86">
        <v>44367</v>
      </c>
      <c r="B1405" s="18">
        <v>235000</v>
      </c>
      <c r="C1405" s="14">
        <v>235000</v>
      </c>
      <c r="D1405" s="14">
        <v>235000</v>
      </c>
      <c r="E1405" s="14">
        <v>235000</v>
      </c>
      <c r="G1405" s="15">
        <v>0</v>
      </c>
    </row>
    <row r="1406" spans="1:7" x14ac:dyDescent="0.15">
      <c r="A1406" s="86">
        <v>44365</v>
      </c>
      <c r="B1406" s="18">
        <v>235000</v>
      </c>
      <c r="C1406" s="14">
        <v>237000</v>
      </c>
      <c r="D1406" s="14">
        <v>238000</v>
      </c>
      <c r="E1406" s="14">
        <v>235000</v>
      </c>
      <c r="F1406" t="s">
        <v>1145</v>
      </c>
      <c r="G1406" s="15">
        <v>-6.3E-3</v>
      </c>
    </row>
    <row r="1407" spans="1:7" x14ac:dyDescent="0.15">
      <c r="A1407" s="86">
        <v>44364</v>
      </c>
      <c r="B1407" s="18">
        <v>236500</v>
      </c>
      <c r="C1407" s="14">
        <v>238500</v>
      </c>
      <c r="D1407" s="14">
        <v>239500</v>
      </c>
      <c r="E1407" s="14">
        <v>236000</v>
      </c>
      <c r="F1407" t="s">
        <v>1101</v>
      </c>
      <c r="G1407" s="15">
        <v>-1.2500000000000001E-2</v>
      </c>
    </row>
    <row r="1408" spans="1:7" x14ac:dyDescent="0.15">
      <c r="A1408" s="86">
        <v>44363</v>
      </c>
      <c r="B1408" s="18">
        <v>239500</v>
      </c>
      <c r="C1408" s="14">
        <v>237000</v>
      </c>
      <c r="D1408" s="14">
        <v>243000</v>
      </c>
      <c r="E1408" s="14">
        <v>237000</v>
      </c>
      <c r="F1408" t="s">
        <v>1146</v>
      </c>
      <c r="G1408" s="15">
        <v>1.0500000000000001E-2</v>
      </c>
    </row>
    <row r="1409" spans="1:7" x14ac:dyDescent="0.15">
      <c r="A1409" s="86">
        <v>44362</v>
      </c>
      <c r="B1409" s="18">
        <v>237000</v>
      </c>
      <c r="C1409" s="14">
        <v>238000</v>
      </c>
      <c r="D1409" s="14">
        <v>239000</v>
      </c>
      <c r="E1409" s="14">
        <v>235500</v>
      </c>
      <c r="F1409" t="s">
        <v>1147</v>
      </c>
      <c r="G1409" s="15">
        <v>-4.1999999999999997E-3</v>
      </c>
    </row>
    <row r="1410" spans="1:7" x14ac:dyDescent="0.15">
      <c r="A1410" s="86">
        <v>44361</v>
      </c>
      <c r="B1410" s="18">
        <v>238000</v>
      </c>
      <c r="C1410" s="14">
        <v>239000</v>
      </c>
      <c r="D1410" s="14">
        <v>239500</v>
      </c>
      <c r="E1410" s="14">
        <v>235000</v>
      </c>
      <c r="F1410" t="s">
        <v>1074</v>
      </c>
      <c r="G1410" s="15">
        <v>-2.0999999999999999E-3</v>
      </c>
    </row>
    <row r="1411" spans="1:7" x14ac:dyDescent="0.15">
      <c r="A1411" s="86">
        <v>44360</v>
      </c>
      <c r="B1411" s="18">
        <v>238500</v>
      </c>
      <c r="C1411" s="14">
        <v>238500</v>
      </c>
      <c r="D1411" s="14">
        <v>238500</v>
      </c>
      <c r="E1411" s="14">
        <v>238500</v>
      </c>
      <c r="G1411" s="15">
        <v>0</v>
      </c>
    </row>
    <row r="1412" spans="1:7" x14ac:dyDescent="0.15">
      <c r="A1412" s="86">
        <v>44358</v>
      </c>
      <c r="B1412" s="18">
        <v>238500</v>
      </c>
      <c r="C1412" s="14">
        <v>237500</v>
      </c>
      <c r="D1412" s="14">
        <v>241500</v>
      </c>
      <c r="E1412" s="14">
        <v>237000</v>
      </c>
      <c r="F1412" t="s">
        <v>1148</v>
      </c>
      <c r="G1412" s="15">
        <v>1.06E-2</v>
      </c>
    </row>
    <row r="1413" spans="1:7" x14ac:dyDescent="0.15">
      <c r="A1413" s="86">
        <v>44357</v>
      </c>
      <c r="B1413" s="18">
        <v>236000</v>
      </c>
      <c r="C1413" s="14">
        <v>238500</v>
      </c>
      <c r="D1413" s="14">
        <v>240000</v>
      </c>
      <c r="E1413" s="14">
        <v>236000</v>
      </c>
      <c r="F1413" t="s">
        <v>1097</v>
      </c>
      <c r="G1413" s="15">
        <v>-1.46E-2</v>
      </c>
    </row>
    <row r="1414" spans="1:7" x14ac:dyDescent="0.15">
      <c r="A1414" s="86">
        <v>44356</v>
      </c>
      <c r="B1414" s="18">
        <v>239500</v>
      </c>
      <c r="C1414" s="14">
        <v>242500</v>
      </c>
      <c r="D1414" s="14">
        <v>245500</v>
      </c>
      <c r="E1414" s="14">
        <v>239000</v>
      </c>
      <c r="F1414" t="s">
        <v>1149</v>
      </c>
      <c r="G1414" s="15">
        <v>-1.6400000000000001E-2</v>
      </c>
    </row>
    <row r="1415" spans="1:7" x14ac:dyDescent="0.15">
      <c r="A1415" s="86">
        <v>44355</v>
      </c>
      <c r="B1415" s="18">
        <v>243500</v>
      </c>
      <c r="C1415" s="14">
        <v>241500</v>
      </c>
      <c r="D1415" s="14">
        <v>245000</v>
      </c>
      <c r="E1415" s="14">
        <v>238500</v>
      </c>
      <c r="F1415" t="s">
        <v>1150</v>
      </c>
      <c r="G1415" s="15">
        <v>8.3000000000000001E-3</v>
      </c>
    </row>
    <row r="1416" spans="1:7" x14ac:dyDescent="0.15">
      <c r="A1416" s="86">
        <v>44354</v>
      </c>
      <c r="B1416" s="18">
        <v>241500</v>
      </c>
      <c r="C1416" s="14">
        <v>244500</v>
      </c>
      <c r="D1416" s="14">
        <v>247500</v>
      </c>
      <c r="E1416" s="14">
        <v>240500</v>
      </c>
      <c r="F1416" t="s">
        <v>1061</v>
      </c>
      <c r="G1416" s="15">
        <v>0</v>
      </c>
    </row>
    <row r="1417" spans="1:7" x14ac:dyDescent="0.15">
      <c r="A1417" s="86">
        <v>44353</v>
      </c>
      <c r="B1417" s="18">
        <v>241500</v>
      </c>
      <c r="C1417" s="14">
        <v>241500</v>
      </c>
      <c r="D1417" s="14">
        <v>241500</v>
      </c>
      <c r="E1417" s="14">
        <v>241500</v>
      </c>
      <c r="G1417" s="15">
        <v>0</v>
      </c>
    </row>
    <row r="1418" spans="1:7" x14ac:dyDescent="0.15">
      <c r="A1418" s="86">
        <v>44351</v>
      </c>
      <c r="B1418" s="18">
        <v>241500</v>
      </c>
      <c r="C1418" s="14">
        <v>241500</v>
      </c>
      <c r="D1418" s="14">
        <v>243000</v>
      </c>
      <c r="E1418" s="14">
        <v>238000</v>
      </c>
      <c r="F1418" t="s">
        <v>127</v>
      </c>
      <c r="G1418" s="15">
        <v>1.26E-2</v>
      </c>
    </row>
    <row r="1419" spans="1:7" x14ac:dyDescent="0.15">
      <c r="A1419" s="86">
        <v>44350</v>
      </c>
      <c r="B1419" s="18">
        <v>238500</v>
      </c>
      <c r="C1419" s="14">
        <v>238500</v>
      </c>
      <c r="D1419" s="14">
        <v>240500</v>
      </c>
      <c r="E1419" s="14">
        <v>236500</v>
      </c>
      <c r="F1419" t="s">
        <v>380</v>
      </c>
      <c r="G1419" s="15">
        <v>2.0999999999999999E-3</v>
      </c>
    </row>
    <row r="1420" spans="1:7" x14ac:dyDescent="0.15">
      <c r="A1420" s="86">
        <v>44349</v>
      </c>
      <c r="B1420" s="18">
        <v>238000</v>
      </c>
      <c r="C1420" s="14">
        <v>239000</v>
      </c>
      <c r="D1420" s="14">
        <v>243000</v>
      </c>
      <c r="E1420" s="14">
        <v>235500</v>
      </c>
      <c r="F1420" t="s">
        <v>1074</v>
      </c>
      <c r="G1420" s="15">
        <v>4.1999999999999997E-3</v>
      </c>
    </row>
    <row r="1421" spans="1:7" x14ac:dyDescent="0.15">
      <c r="A1421" s="86">
        <v>44348</v>
      </c>
      <c r="B1421" s="18">
        <v>237000</v>
      </c>
      <c r="C1421" s="14">
        <v>235000</v>
      </c>
      <c r="D1421" s="14">
        <v>237500</v>
      </c>
      <c r="E1421" s="14">
        <v>233000</v>
      </c>
      <c r="F1421" t="s">
        <v>1083</v>
      </c>
      <c r="G1421" s="15">
        <v>8.5000000000000006E-3</v>
      </c>
    </row>
    <row r="1422" spans="1:7" x14ac:dyDescent="0.15">
      <c r="A1422" s="86">
        <v>44347</v>
      </c>
      <c r="B1422" s="18">
        <v>235000</v>
      </c>
      <c r="C1422" s="14">
        <v>233000</v>
      </c>
      <c r="D1422" s="14">
        <v>235500</v>
      </c>
      <c r="E1422" s="14">
        <v>230500</v>
      </c>
      <c r="F1422" t="s">
        <v>106</v>
      </c>
      <c r="G1422" s="15">
        <v>1.29E-2</v>
      </c>
    </row>
    <row r="1423" spans="1:7" x14ac:dyDescent="0.15">
      <c r="A1423" s="86">
        <v>44346</v>
      </c>
      <c r="B1423" s="18">
        <v>232000</v>
      </c>
      <c r="C1423" s="14">
        <v>232000</v>
      </c>
      <c r="D1423" s="14">
        <v>232000</v>
      </c>
      <c r="E1423" s="14">
        <v>232000</v>
      </c>
      <c r="G1423" s="15">
        <v>0</v>
      </c>
    </row>
    <row r="1424" spans="1:7" x14ac:dyDescent="0.15">
      <c r="A1424" s="86">
        <v>44344</v>
      </c>
      <c r="B1424" s="18">
        <v>232000</v>
      </c>
      <c r="C1424" s="14">
        <v>223500</v>
      </c>
      <c r="D1424" s="14">
        <v>232500</v>
      </c>
      <c r="E1424" s="14">
        <v>223000</v>
      </c>
      <c r="F1424" t="s">
        <v>1151</v>
      </c>
      <c r="G1424" s="15">
        <v>5.2200000000000003E-2</v>
      </c>
    </row>
    <row r="1425" spans="1:7" x14ac:dyDescent="0.15">
      <c r="A1425" s="86">
        <v>44343</v>
      </c>
      <c r="B1425" s="18">
        <v>220500</v>
      </c>
      <c r="C1425" s="14">
        <v>223000</v>
      </c>
      <c r="D1425" s="14">
        <v>223500</v>
      </c>
      <c r="E1425" s="14">
        <v>220000</v>
      </c>
      <c r="F1425" t="s">
        <v>1097</v>
      </c>
      <c r="G1425" s="15">
        <v>-1.34E-2</v>
      </c>
    </row>
    <row r="1426" spans="1:7" x14ac:dyDescent="0.15">
      <c r="A1426" s="86">
        <v>44342</v>
      </c>
      <c r="B1426" s="18">
        <v>223500</v>
      </c>
      <c r="C1426" s="14">
        <v>228000</v>
      </c>
      <c r="D1426" s="14">
        <v>229000</v>
      </c>
      <c r="E1426" s="14">
        <v>222500</v>
      </c>
      <c r="F1426" t="s">
        <v>1094</v>
      </c>
      <c r="G1426" s="15">
        <v>-1.7600000000000001E-2</v>
      </c>
    </row>
    <row r="1427" spans="1:7" x14ac:dyDescent="0.15">
      <c r="A1427" s="86">
        <v>44341</v>
      </c>
      <c r="B1427" s="18">
        <v>227500</v>
      </c>
      <c r="C1427" s="14">
        <v>230000</v>
      </c>
      <c r="D1427" s="14">
        <v>230000</v>
      </c>
      <c r="E1427" s="14">
        <v>225000</v>
      </c>
      <c r="F1427" t="s">
        <v>1050</v>
      </c>
      <c r="G1427" s="15">
        <v>-2.2000000000000001E-3</v>
      </c>
    </row>
    <row r="1428" spans="1:7" x14ac:dyDescent="0.15">
      <c r="A1428" s="86">
        <v>44340</v>
      </c>
      <c r="B1428" s="18">
        <v>228000</v>
      </c>
      <c r="C1428" s="14">
        <v>227500</v>
      </c>
      <c r="D1428" s="14">
        <v>231000</v>
      </c>
      <c r="E1428" s="14">
        <v>226000</v>
      </c>
      <c r="F1428" t="s">
        <v>1065</v>
      </c>
      <c r="G1428" s="15">
        <v>2.2000000000000001E-3</v>
      </c>
    </row>
    <row r="1429" spans="1:7" x14ac:dyDescent="0.15">
      <c r="A1429" s="86">
        <v>44339</v>
      </c>
      <c r="B1429" s="18">
        <v>227500</v>
      </c>
      <c r="C1429" s="14">
        <v>227500</v>
      </c>
      <c r="D1429" s="14">
        <v>227500</v>
      </c>
      <c r="E1429" s="14">
        <v>227500</v>
      </c>
      <c r="G1429" s="15">
        <v>0</v>
      </c>
    </row>
    <row r="1430" spans="1:7" x14ac:dyDescent="0.15">
      <c r="A1430" s="86">
        <v>44337</v>
      </c>
      <c r="B1430" s="18">
        <v>227500</v>
      </c>
      <c r="C1430" s="14">
        <v>227000</v>
      </c>
      <c r="D1430" s="14">
        <v>233000</v>
      </c>
      <c r="E1430" s="14">
        <v>225500</v>
      </c>
      <c r="F1430" t="s">
        <v>127</v>
      </c>
      <c r="G1430" s="15">
        <v>1.34E-2</v>
      </c>
    </row>
    <row r="1431" spans="1:7" x14ac:dyDescent="0.15">
      <c r="A1431" s="86">
        <v>44336</v>
      </c>
      <c r="B1431" s="18">
        <v>224500</v>
      </c>
      <c r="C1431" s="14">
        <v>228500</v>
      </c>
      <c r="D1431" s="14">
        <v>230500</v>
      </c>
      <c r="E1431" s="14">
        <v>224000</v>
      </c>
      <c r="F1431" t="s">
        <v>1038</v>
      </c>
      <c r="G1431" s="15">
        <v>-2.81E-2</v>
      </c>
    </row>
    <row r="1432" spans="1:7" x14ac:dyDescent="0.15">
      <c r="A1432" s="86">
        <v>44335</v>
      </c>
      <c r="B1432" s="18">
        <v>231000</v>
      </c>
      <c r="C1432" s="14">
        <v>231000</v>
      </c>
      <c r="D1432" s="14">
        <v>231000</v>
      </c>
      <c r="E1432" s="14">
        <v>231000</v>
      </c>
      <c r="G1432" s="15">
        <v>0</v>
      </c>
    </row>
    <row r="1433" spans="1:7" x14ac:dyDescent="0.15">
      <c r="A1433" s="86">
        <v>44334</v>
      </c>
      <c r="B1433" s="18">
        <v>231000</v>
      </c>
      <c r="C1433" s="14">
        <v>227500</v>
      </c>
      <c r="D1433" s="14">
        <v>232500</v>
      </c>
      <c r="E1433" s="14">
        <v>226000</v>
      </c>
      <c r="F1433" t="s">
        <v>380</v>
      </c>
      <c r="G1433" s="15">
        <v>1.7600000000000001E-2</v>
      </c>
    </row>
    <row r="1434" spans="1:7" x14ac:dyDescent="0.15">
      <c r="A1434" s="86">
        <v>44333</v>
      </c>
      <c r="B1434" s="18">
        <v>227000</v>
      </c>
      <c r="C1434" s="14">
        <v>232000</v>
      </c>
      <c r="D1434" s="14">
        <v>232500</v>
      </c>
      <c r="E1434" s="14">
        <v>225000</v>
      </c>
      <c r="F1434" t="s">
        <v>1115</v>
      </c>
      <c r="G1434" s="15">
        <v>-8.6999999999999994E-3</v>
      </c>
    </row>
    <row r="1435" spans="1:7" x14ac:dyDescent="0.15">
      <c r="A1435" s="86">
        <v>44332</v>
      </c>
      <c r="B1435" s="18">
        <v>229000</v>
      </c>
      <c r="C1435" s="14">
        <v>229000</v>
      </c>
      <c r="D1435" s="14">
        <v>229000</v>
      </c>
      <c r="E1435" s="14">
        <v>229000</v>
      </c>
      <c r="G1435" s="15">
        <v>0</v>
      </c>
    </row>
    <row r="1436" spans="1:7" x14ac:dyDescent="0.15">
      <c r="A1436" s="86">
        <v>44330</v>
      </c>
      <c r="B1436" s="18">
        <v>229000</v>
      </c>
      <c r="C1436" s="14">
        <v>234000</v>
      </c>
      <c r="D1436" s="14">
        <v>236000</v>
      </c>
      <c r="E1436" s="14">
        <v>226500</v>
      </c>
      <c r="F1436" t="s">
        <v>177</v>
      </c>
      <c r="G1436" s="15">
        <v>-2.2000000000000001E-3</v>
      </c>
    </row>
    <row r="1437" spans="1:7" x14ac:dyDescent="0.15">
      <c r="A1437" s="86">
        <v>44329</v>
      </c>
      <c r="B1437" s="18">
        <v>229500</v>
      </c>
      <c r="C1437" s="14">
        <v>224000</v>
      </c>
      <c r="D1437" s="14">
        <v>232000</v>
      </c>
      <c r="E1437" s="14">
        <v>222500</v>
      </c>
      <c r="F1437" t="s">
        <v>1084</v>
      </c>
      <c r="G1437" s="15">
        <v>8.8000000000000005E-3</v>
      </c>
    </row>
    <row r="1438" spans="1:7" x14ac:dyDescent="0.15">
      <c r="A1438" s="86">
        <v>44328</v>
      </c>
      <c r="B1438" s="18">
        <v>227500</v>
      </c>
      <c r="C1438" s="14">
        <v>226500</v>
      </c>
      <c r="D1438" s="14">
        <v>233000</v>
      </c>
      <c r="E1438" s="14">
        <v>223000</v>
      </c>
      <c r="F1438" t="s">
        <v>1152</v>
      </c>
      <c r="G1438" s="15">
        <v>4.4000000000000003E-3</v>
      </c>
    </row>
    <row r="1439" spans="1:7" x14ac:dyDescent="0.15">
      <c r="A1439" s="86">
        <v>44327</v>
      </c>
      <c r="B1439" s="18">
        <v>226500</v>
      </c>
      <c r="C1439" s="14">
        <v>227000</v>
      </c>
      <c r="D1439" s="14">
        <v>228500</v>
      </c>
      <c r="E1439" s="14">
        <v>223500</v>
      </c>
      <c r="F1439" t="s">
        <v>1153</v>
      </c>
      <c r="G1439" s="15">
        <v>-1.3100000000000001E-2</v>
      </c>
    </row>
    <row r="1440" spans="1:7" x14ac:dyDescent="0.15">
      <c r="A1440" s="86">
        <v>44326</v>
      </c>
      <c r="B1440" s="18">
        <v>229500</v>
      </c>
      <c r="C1440" s="14">
        <v>226000</v>
      </c>
      <c r="D1440" s="14">
        <v>230000</v>
      </c>
      <c r="E1440" s="14">
        <v>225500</v>
      </c>
      <c r="F1440" t="s">
        <v>1091</v>
      </c>
      <c r="G1440" s="15">
        <v>2.46E-2</v>
      </c>
    </row>
    <row r="1441" spans="1:7" x14ac:dyDescent="0.15">
      <c r="A1441" s="86">
        <v>44325</v>
      </c>
      <c r="B1441" s="18">
        <v>224000</v>
      </c>
      <c r="C1441" s="14">
        <v>224000</v>
      </c>
      <c r="D1441" s="14">
        <v>224000</v>
      </c>
      <c r="E1441" s="14">
        <v>224000</v>
      </c>
      <c r="G1441" s="15">
        <v>0</v>
      </c>
    </row>
    <row r="1442" spans="1:7" x14ac:dyDescent="0.15">
      <c r="A1442" s="86">
        <v>44323</v>
      </c>
      <c r="B1442" s="18">
        <v>224000</v>
      </c>
      <c r="C1442" s="14">
        <v>223500</v>
      </c>
      <c r="D1442" s="14">
        <v>227000</v>
      </c>
      <c r="E1442" s="14">
        <v>221000</v>
      </c>
      <c r="F1442" t="s">
        <v>1154</v>
      </c>
      <c r="G1442" s="15">
        <v>2.2000000000000001E-3</v>
      </c>
    </row>
    <row r="1443" spans="1:7" x14ac:dyDescent="0.15">
      <c r="A1443" s="86">
        <v>44322</v>
      </c>
      <c r="B1443" s="18">
        <v>223500</v>
      </c>
      <c r="C1443" s="14">
        <v>223000</v>
      </c>
      <c r="D1443" s="14">
        <v>225000</v>
      </c>
      <c r="E1443" s="14">
        <v>221000</v>
      </c>
      <c r="F1443" t="s">
        <v>1155</v>
      </c>
      <c r="G1443" s="15">
        <v>0</v>
      </c>
    </row>
    <row r="1444" spans="1:7" x14ac:dyDescent="0.15">
      <c r="A1444" s="86">
        <v>44321</v>
      </c>
      <c r="B1444" s="18">
        <v>223500</v>
      </c>
      <c r="C1444" s="14">
        <v>223500</v>
      </c>
      <c r="D1444" s="14">
        <v>223500</v>
      </c>
      <c r="E1444" s="14">
        <v>223500</v>
      </c>
      <c r="G1444" s="15">
        <v>0</v>
      </c>
    </row>
    <row r="1445" spans="1:7" x14ac:dyDescent="0.15">
      <c r="A1445" s="86">
        <v>44320</v>
      </c>
      <c r="B1445" s="18">
        <v>223500</v>
      </c>
      <c r="C1445" s="14">
        <v>220000</v>
      </c>
      <c r="D1445" s="14">
        <v>224500</v>
      </c>
      <c r="E1445" s="14">
        <v>217500</v>
      </c>
      <c r="F1445" t="s">
        <v>1156</v>
      </c>
      <c r="G1445" s="15">
        <v>2.52E-2</v>
      </c>
    </row>
    <row r="1446" spans="1:7" x14ac:dyDescent="0.15">
      <c r="A1446" s="86">
        <v>44319</v>
      </c>
      <c r="B1446" s="18">
        <v>218000</v>
      </c>
      <c r="C1446" s="14">
        <v>212000</v>
      </c>
      <c r="D1446" s="14">
        <v>222500</v>
      </c>
      <c r="E1446" s="14">
        <v>211000</v>
      </c>
      <c r="F1446" t="s">
        <v>551</v>
      </c>
      <c r="G1446" s="15">
        <v>2.8299999999999999E-2</v>
      </c>
    </row>
    <row r="1447" spans="1:7" x14ac:dyDescent="0.15">
      <c r="A1447" s="86">
        <v>44318</v>
      </c>
      <c r="B1447" s="18">
        <v>212000</v>
      </c>
      <c r="C1447" s="14">
        <v>212000</v>
      </c>
      <c r="D1447" s="14">
        <v>212000</v>
      </c>
      <c r="E1447" s="14">
        <v>212000</v>
      </c>
      <c r="G1447" s="15">
        <v>0</v>
      </c>
    </row>
    <row r="1448" spans="1:7" x14ac:dyDescent="0.15">
      <c r="A1448" s="86">
        <v>44316</v>
      </c>
      <c r="B1448" s="18">
        <v>212000</v>
      </c>
      <c r="C1448" s="14">
        <v>216000</v>
      </c>
      <c r="D1448" s="14">
        <v>216500</v>
      </c>
      <c r="E1448" s="14">
        <v>211000</v>
      </c>
      <c r="F1448" t="s">
        <v>587</v>
      </c>
      <c r="G1448" s="15">
        <v>-2.53E-2</v>
      </c>
    </row>
    <row r="1449" spans="1:7" x14ac:dyDescent="0.15">
      <c r="A1449" s="86">
        <v>44315</v>
      </c>
      <c r="B1449" s="18">
        <v>217500</v>
      </c>
      <c r="C1449" s="14">
        <v>221000</v>
      </c>
      <c r="D1449" s="14">
        <v>221000</v>
      </c>
      <c r="E1449" s="14">
        <v>217000</v>
      </c>
      <c r="F1449" t="s">
        <v>1157</v>
      </c>
      <c r="G1449" s="15">
        <v>-1.8100000000000002E-2</v>
      </c>
    </row>
    <row r="1450" spans="1:7" x14ac:dyDescent="0.15">
      <c r="A1450" s="86">
        <v>44314</v>
      </c>
      <c r="B1450" s="18">
        <v>221500</v>
      </c>
      <c r="C1450" s="14">
        <v>220000</v>
      </c>
      <c r="D1450" s="14">
        <v>223500</v>
      </c>
      <c r="E1450" s="14">
        <v>219500</v>
      </c>
      <c r="F1450" t="s">
        <v>1040</v>
      </c>
      <c r="G1450" s="15">
        <v>6.7999999999999996E-3</v>
      </c>
    </row>
    <row r="1451" spans="1:7" x14ac:dyDescent="0.15">
      <c r="A1451" s="86">
        <v>44313</v>
      </c>
      <c r="B1451" s="18">
        <v>220000</v>
      </c>
      <c r="C1451" s="14">
        <v>222500</v>
      </c>
      <c r="D1451" s="14">
        <v>222500</v>
      </c>
      <c r="E1451" s="14">
        <v>218000</v>
      </c>
      <c r="F1451" t="s">
        <v>1121</v>
      </c>
      <c r="G1451" s="15">
        <v>-6.7999999999999996E-3</v>
      </c>
    </row>
    <row r="1452" spans="1:7" x14ac:dyDescent="0.15">
      <c r="A1452" s="86">
        <v>44312</v>
      </c>
      <c r="B1452" s="18">
        <v>221500</v>
      </c>
      <c r="C1452" s="14">
        <v>222000</v>
      </c>
      <c r="D1452" s="14">
        <v>222500</v>
      </c>
      <c r="E1452" s="14">
        <v>220000</v>
      </c>
      <c r="F1452" t="s">
        <v>1060</v>
      </c>
      <c r="G1452" s="15">
        <v>2.3E-3</v>
      </c>
    </row>
    <row r="1453" spans="1:7" x14ac:dyDescent="0.15">
      <c r="A1453" s="86">
        <v>44311</v>
      </c>
      <c r="B1453" s="18">
        <v>221000</v>
      </c>
      <c r="C1453" s="14">
        <v>221000</v>
      </c>
      <c r="D1453" s="14">
        <v>221000</v>
      </c>
      <c r="E1453" s="14">
        <v>221000</v>
      </c>
      <c r="G1453" s="15">
        <v>0</v>
      </c>
    </row>
    <row r="1454" spans="1:7" x14ac:dyDescent="0.15">
      <c r="A1454" s="86">
        <v>44309</v>
      </c>
      <c r="B1454" s="18">
        <v>221000</v>
      </c>
      <c r="C1454" s="14">
        <v>225500</v>
      </c>
      <c r="D1454" s="14">
        <v>225500</v>
      </c>
      <c r="E1454" s="14">
        <v>220500</v>
      </c>
      <c r="F1454" t="s">
        <v>551</v>
      </c>
      <c r="G1454" s="15">
        <v>-2.2100000000000002E-2</v>
      </c>
    </row>
    <row r="1455" spans="1:7" x14ac:dyDescent="0.15">
      <c r="A1455" s="86">
        <v>44308</v>
      </c>
      <c r="B1455" s="18">
        <v>226000</v>
      </c>
      <c r="C1455" s="14">
        <v>226500</v>
      </c>
      <c r="D1455" s="14">
        <v>231000</v>
      </c>
      <c r="E1455" s="14">
        <v>225500</v>
      </c>
      <c r="F1455" t="s">
        <v>1158</v>
      </c>
      <c r="G1455" s="15">
        <v>2.2000000000000001E-3</v>
      </c>
    </row>
    <row r="1456" spans="1:7" x14ac:dyDescent="0.15">
      <c r="A1456" s="86">
        <v>44307</v>
      </c>
      <c r="B1456" s="18">
        <v>225500</v>
      </c>
      <c r="C1456" s="14">
        <v>228000</v>
      </c>
      <c r="D1456" s="14">
        <v>228000</v>
      </c>
      <c r="E1456" s="14">
        <v>224000</v>
      </c>
      <c r="F1456" t="s">
        <v>1037</v>
      </c>
      <c r="G1456" s="15">
        <v>-1.5299999999999999E-2</v>
      </c>
    </row>
    <row r="1457" spans="1:7" x14ac:dyDescent="0.15">
      <c r="A1457" s="86">
        <v>44306</v>
      </c>
      <c r="B1457" s="18">
        <v>229000</v>
      </c>
      <c r="C1457" s="14">
        <v>230000</v>
      </c>
      <c r="D1457" s="14">
        <v>231000</v>
      </c>
      <c r="E1457" s="14">
        <v>228500</v>
      </c>
      <c r="F1457" t="s">
        <v>1140</v>
      </c>
      <c r="G1457" s="15">
        <v>-4.3E-3</v>
      </c>
    </row>
    <row r="1458" spans="1:7" x14ac:dyDescent="0.15">
      <c r="A1458" s="86">
        <v>44305</v>
      </c>
      <c r="B1458" s="18">
        <v>230000</v>
      </c>
      <c r="C1458" s="14">
        <v>231500</v>
      </c>
      <c r="D1458" s="14">
        <v>232500</v>
      </c>
      <c r="E1458" s="14">
        <v>229500</v>
      </c>
      <c r="F1458" t="s">
        <v>1159</v>
      </c>
      <c r="G1458" s="15">
        <v>-6.4999999999999997E-3</v>
      </c>
    </row>
    <row r="1459" spans="1:7" x14ac:dyDescent="0.15">
      <c r="A1459" s="86">
        <v>44304</v>
      </c>
      <c r="B1459" s="18">
        <v>231500</v>
      </c>
      <c r="C1459" s="14">
        <v>231500</v>
      </c>
      <c r="D1459" s="14">
        <v>231500</v>
      </c>
      <c r="E1459" s="14">
        <v>231500</v>
      </c>
      <c r="G1459" s="15">
        <v>0</v>
      </c>
    </row>
    <row r="1460" spans="1:7" x14ac:dyDescent="0.15">
      <c r="A1460" s="86">
        <v>44302</v>
      </c>
      <c r="B1460" s="18">
        <v>231500</v>
      </c>
      <c r="C1460" s="14">
        <v>231500</v>
      </c>
      <c r="D1460" s="14">
        <v>233500</v>
      </c>
      <c r="E1460" s="14">
        <v>230500</v>
      </c>
      <c r="F1460" t="s">
        <v>1160</v>
      </c>
      <c r="G1460" s="15">
        <v>4.3E-3</v>
      </c>
    </row>
    <row r="1461" spans="1:7" x14ac:dyDescent="0.15">
      <c r="A1461" s="86">
        <v>44301</v>
      </c>
      <c r="B1461" s="18">
        <v>230500</v>
      </c>
      <c r="C1461" s="14">
        <v>232500</v>
      </c>
      <c r="D1461" s="14">
        <v>232500</v>
      </c>
      <c r="E1461" s="14">
        <v>229000</v>
      </c>
      <c r="F1461" t="s">
        <v>1161</v>
      </c>
      <c r="G1461" s="15">
        <v>-8.6E-3</v>
      </c>
    </row>
    <row r="1462" spans="1:7" x14ac:dyDescent="0.15">
      <c r="A1462" s="86">
        <v>44300</v>
      </c>
      <c r="B1462" s="18">
        <v>232500</v>
      </c>
      <c r="C1462" s="14">
        <v>231000</v>
      </c>
      <c r="D1462" s="14">
        <v>236500</v>
      </c>
      <c r="E1462" s="14">
        <v>230500</v>
      </c>
      <c r="F1462" t="s">
        <v>1162</v>
      </c>
      <c r="G1462" s="15">
        <v>1.09E-2</v>
      </c>
    </row>
    <row r="1463" spans="1:7" x14ac:dyDescent="0.15">
      <c r="A1463" s="86">
        <v>44299</v>
      </c>
      <c r="B1463" s="18">
        <v>230000</v>
      </c>
      <c r="C1463" s="14">
        <v>226500</v>
      </c>
      <c r="D1463" s="14">
        <v>230000</v>
      </c>
      <c r="E1463" s="14">
        <v>226500</v>
      </c>
      <c r="F1463" t="s">
        <v>1057</v>
      </c>
      <c r="G1463" s="15">
        <v>1.77E-2</v>
      </c>
    </row>
    <row r="1464" spans="1:7" x14ac:dyDescent="0.15">
      <c r="A1464" s="86">
        <v>44298</v>
      </c>
      <c r="B1464" s="18">
        <v>226000</v>
      </c>
      <c r="C1464" s="14">
        <v>228000</v>
      </c>
      <c r="D1464" s="14">
        <v>228500</v>
      </c>
      <c r="E1464" s="14">
        <v>225500</v>
      </c>
      <c r="F1464" t="s">
        <v>1066</v>
      </c>
      <c r="G1464" s="15">
        <v>-1.09E-2</v>
      </c>
    </row>
    <row r="1465" spans="1:7" x14ac:dyDescent="0.15">
      <c r="A1465" s="86">
        <v>44297</v>
      </c>
      <c r="B1465" s="18">
        <v>228500</v>
      </c>
      <c r="C1465" s="14">
        <v>228500</v>
      </c>
      <c r="D1465" s="14">
        <v>228500</v>
      </c>
      <c r="E1465" s="14">
        <v>228500</v>
      </c>
      <c r="G1465" s="15">
        <v>0</v>
      </c>
    </row>
    <row r="1466" spans="1:7" x14ac:dyDescent="0.15">
      <c r="A1466" s="86">
        <v>44295</v>
      </c>
      <c r="B1466" s="18">
        <v>228500</v>
      </c>
      <c r="C1466" s="14">
        <v>231500</v>
      </c>
      <c r="D1466" s="14">
        <v>232000</v>
      </c>
      <c r="E1466" s="14">
        <v>227000</v>
      </c>
      <c r="F1466" t="s">
        <v>1163</v>
      </c>
      <c r="G1466" s="15">
        <v>-1.2999999999999999E-2</v>
      </c>
    </row>
    <row r="1467" spans="1:7" x14ac:dyDescent="0.15">
      <c r="A1467" s="86">
        <v>44294</v>
      </c>
      <c r="B1467" s="18">
        <v>231500</v>
      </c>
      <c r="C1467" s="14">
        <v>229000</v>
      </c>
      <c r="D1467" s="14">
        <v>233500</v>
      </c>
      <c r="E1467" s="14">
        <v>227000</v>
      </c>
      <c r="F1467" t="s">
        <v>1164</v>
      </c>
      <c r="G1467" s="15">
        <v>6.4999999999999997E-3</v>
      </c>
    </row>
    <row r="1468" spans="1:7" x14ac:dyDescent="0.15">
      <c r="A1468" s="86">
        <v>44293</v>
      </c>
      <c r="B1468" s="18">
        <v>230000</v>
      </c>
      <c r="C1468" s="14">
        <v>228500</v>
      </c>
      <c r="D1468" s="14">
        <v>232500</v>
      </c>
      <c r="E1468" s="14">
        <v>226500</v>
      </c>
      <c r="F1468" t="s">
        <v>1165</v>
      </c>
      <c r="G1468" s="15">
        <v>0</v>
      </c>
    </row>
    <row r="1469" spans="1:7" x14ac:dyDescent="0.15">
      <c r="A1469" s="86">
        <v>44292</v>
      </c>
      <c r="B1469" s="18">
        <v>230000</v>
      </c>
      <c r="C1469" s="14">
        <v>234500</v>
      </c>
      <c r="D1469" s="14">
        <v>235000</v>
      </c>
      <c r="E1469" s="14">
        <v>229500</v>
      </c>
      <c r="F1469" t="s">
        <v>1046</v>
      </c>
      <c r="G1469" s="15">
        <v>-1.7100000000000001E-2</v>
      </c>
    </row>
    <row r="1470" spans="1:7" x14ac:dyDescent="0.15">
      <c r="A1470" s="86">
        <v>44291</v>
      </c>
      <c r="B1470" s="18">
        <v>234000</v>
      </c>
      <c r="C1470" s="14">
        <v>236000</v>
      </c>
      <c r="D1470" s="14">
        <v>236500</v>
      </c>
      <c r="E1470" s="14">
        <v>230000</v>
      </c>
      <c r="F1470" t="s">
        <v>1100</v>
      </c>
      <c r="G1470" s="15">
        <v>2.0999999999999999E-3</v>
      </c>
    </row>
    <row r="1471" spans="1:7" x14ac:dyDescent="0.15">
      <c r="A1471" s="86">
        <v>44290</v>
      </c>
      <c r="B1471" s="18">
        <v>233500</v>
      </c>
      <c r="C1471" s="14">
        <v>233500</v>
      </c>
      <c r="D1471" s="14">
        <v>233500</v>
      </c>
      <c r="E1471" s="14">
        <v>233500</v>
      </c>
      <c r="G1471" s="15">
        <v>0</v>
      </c>
    </row>
    <row r="1472" spans="1:7" x14ac:dyDescent="0.15">
      <c r="A1472" s="86">
        <v>44288</v>
      </c>
      <c r="B1472" s="18">
        <v>233500</v>
      </c>
      <c r="C1472" s="14">
        <v>225500</v>
      </c>
      <c r="D1472" s="14">
        <v>238500</v>
      </c>
      <c r="E1472" s="14">
        <v>225000</v>
      </c>
      <c r="F1472" t="s">
        <v>1166</v>
      </c>
      <c r="G1472" s="15">
        <v>6.6199999999999995E-2</v>
      </c>
    </row>
    <row r="1473" spans="1:7" x14ac:dyDescent="0.15">
      <c r="A1473" s="86">
        <v>44287</v>
      </c>
      <c r="B1473" s="18">
        <v>219000</v>
      </c>
      <c r="C1473" s="14">
        <v>220500</v>
      </c>
      <c r="D1473" s="14">
        <v>224000</v>
      </c>
      <c r="E1473" s="14">
        <v>218500</v>
      </c>
      <c r="F1473" t="s">
        <v>1038</v>
      </c>
      <c r="G1473" s="15">
        <v>4.5999999999999999E-3</v>
      </c>
    </row>
    <row r="1474" spans="1:7" x14ac:dyDescent="0.15">
      <c r="A1474" s="86">
        <v>44286</v>
      </c>
      <c r="B1474" s="18">
        <v>218000</v>
      </c>
      <c r="C1474" s="14">
        <v>221000</v>
      </c>
      <c r="D1474" s="14">
        <v>221000</v>
      </c>
      <c r="E1474" s="14">
        <v>218000</v>
      </c>
      <c r="F1474" t="s">
        <v>1097</v>
      </c>
      <c r="G1474" s="15">
        <v>-6.7999999999999996E-3</v>
      </c>
    </row>
    <row r="1475" spans="1:7" x14ac:dyDescent="0.15">
      <c r="A1475" s="86">
        <v>44285</v>
      </c>
      <c r="B1475" s="18">
        <v>219500</v>
      </c>
      <c r="C1475" s="14">
        <v>215500</v>
      </c>
      <c r="D1475" s="14">
        <v>221000</v>
      </c>
      <c r="E1475" s="14">
        <v>215000</v>
      </c>
      <c r="F1475" t="s">
        <v>1167</v>
      </c>
      <c r="G1475" s="15">
        <v>1.8599999999999998E-2</v>
      </c>
    </row>
    <row r="1476" spans="1:7" x14ac:dyDescent="0.15">
      <c r="A1476" s="86">
        <v>44284</v>
      </c>
      <c r="B1476" s="18">
        <v>215500</v>
      </c>
      <c r="C1476" s="14">
        <v>215500</v>
      </c>
      <c r="D1476" s="14">
        <v>217500</v>
      </c>
      <c r="E1476" s="14">
        <v>211000</v>
      </c>
      <c r="F1476" t="s">
        <v>230</v>
      </c>
      <c r="G1476" s="15">
        <v>0</v>
      </c>
    </row>
    <row r="1477" spans="1:7" x14ac:dyDescent="0.15">
      <c r="A1477" s="86">
        <v>44283</v>
      </c>
      <c r="B1477" s="18">
        <v>215500</v>
      </c>
      <c r="C1477" s="14">
        <v>215500</v>
      </c>
      <c r="D1477" s="14">
        <v>215500</v>
      </c>
      <c r="E1477" s="14">
        <v>215500</v>
      </c>
      <c r="G1477" s="15">
        <v>0</v>
      </c>
    </row>
    <row r="1478" spans="1:7" x14ac:dyDescent="0.15">
      <c r="A1478" s="86">
        <v>44281</v>
      </c>
      <c r="B1478" s="18">
        <v>215500</v>
      </c>
      <c r="C1478" s="14">
        <v>219500</v>
      </c>
      <c r="D1478" s="14">
        <v>219500</v>
      </c>
      <c r="E1478" s="14">
        <v>212000</v>
      </c>
      <c r="F1478" t="s">
        <v>229</v>
      </c>
      <c r="G1478" s="15">
        <v>-1.15E-2</v>
      </c>
    </row>
    <row r="1479" spans="1:7" x14ac:dyDescent="0.15">
      <c r="A1479" s="86">
        <v>44280</v>
      </c>
      <c r="B1479" s="18">
        <v>218000</v>
      </c>
      <c r="C1479" s="14">
        <v>218500</v>
      </c>
      <c r="D1479" s="14">
        <v>220500</v>
      </c>
      <c r="E1479" s="14">
        <v>216000</v>
      </c>
      <c r="F1479" t="s">
        <v>416</v>
      </c>
      <c r="G1479" s="15">
        <v>-1.3599999999999999E-2</v>
      </c>
    </row>
    <row r="1480" spans="1:7" x14ac:dyDescent="0.15">
      <c r="A1480" s="86">
        <v>44279</v>
      </c>
      <c r="B1480" s="18">
        <v>221000</v>
      </c>
      <c r="C1480" s="14">
        <v>225000</v>
      </c>
      <c r="D1480" s="14">
        <v>225500</v>
      </c>
      <c r="E1480" s="14">
        <v>220000</v>
      </c>
      <c r="F1480" t="s">
        <v>1168</v>
      </c>
      <c r="G1480" s="15">
        <v>-2.4299999999999999E-2</v>
      </c>
    </row>
    <row r="1481" spans="1:7" x14ac:dyDescent="0.15">
      <c r="A1481" s="86">
        <v>44278</v>
      </c>
      <c r="B1481" s="18">
        <v>226500</v>
      </c>
      <c r="C1481" s="14">
        <v>230000</v>
      </c>
      <c r="D1481" s="14">
        <v>231000</v>
      </c>
      <c r="E1481" s="14">
        <v>225500</v>
      </c>
      <c r="F1481" t="s">
        <v>1064</v>
      </c>
      <c r="G1481" s="15">
        <v>-1.09E-2</v>
      </c>
    </row>
    <row r="1482" spans="1:7" x14ac:dyDescent="0.15">
      <c r="A1482" s="86">
        <v>44277</v>
      </c>
      <c r="B1482" s="18">
        <v>229000</v>
      </c>
      <c r="C1482" s="14">
        <v>230000</v>
      </c>
      <c r="D1482" s="14">
        <v>230500</v>
      </c>
      <c r="E1482" s="14">
        <v>227500</v>
      </c>
      <c r="F1482" t="s">
        <v>1084</v>
      </c>
      <c r="G1482" s="15">
        <v>-2.2000000000000001E-3</v>
      </c>
    </row>
    <row r="1483" spans="1:7" x14ac:dyDescent="0.15">
      <c r="A1483" s="86">
        <v>44276</v>
      </c>
      <c r="B1483" s="18">
        <v>229500</v>
      </c>
      <c r="C1483" s="14">
        <v>229500</v>
      </c>
      <c r="D1483" s="14">
        <v>229500</v>
      </c>
      <c r="E1483" s="14">
        <v>229500</v>
      </c>
      <c r="G1483" s="15">
        <v>0</v>
      </c>
    </row>
    <row r="1484" spans="1:7" x14ac:dyDescent="0.15">
      <c r="A1484" s="86">
        <v>44274</v>
      </c>
      <c r="B1484" s="18">
        <v>229500</v>
      </c>
      <c r="C1484" s="14">
        <v>230000</v>
      </c>
      <c r="D1484" s="14">
        <v>232000</v>
      </c>
      <c r="E1484" s="14">
        <v>229000</v>
      </c>
      <c r="F1484" t="s">
        <v>502</v>
      </c>
      <c r="G1484" s="15">
        <v>-1.9199999999999998E-2</v>
      </c>
    </row>
    <row r="1485" spans="1:7" x14ac:dyDescent="0.15">
      <c r="A1485" s="86">
        <v>44273</v>
      </c>
      <c r="B1485" s="18">
        <v>234000</v>
      </c>
      <c r="C1485" s="14">
        <v>234500</v>
      </c>
      <c r="D1485" s="14">
        <v>238000</v>
      </c>
      <c r="E1485" s="14">
        <v>233500</v>
      </c>
      <c r="F1485" t="s">
        <v>1065</v>
      </c>
      <c r="G1485" s="15">
        <v>8.6E-3</v>
      </c>
    </row>
    <row r="1486" spans="1:7" x14ac:dyDescent="0.15">
      <c r="A1486" s="86">
        <v>44272</v>
      </c>
      <c r="B1486" s="18">
        <v>232000</v>
      </c>
      <c r="C1486" s="14">
        <v>234000</v>
      </c>
      <c r="D1486" s="14">
        <v>234000</v>
      </c>
      <c r="E1486" s="14">
        <v>230000</v>
      </c>
      <c r="F1486" t="s">
        <v>1169</v>
      </c>
      <c r="G1486" s="15">
        <v>-8.5000000000000006E-3</v>
      </c>
    </row>
    <row r="1487" spans="1:7" x14ac:dyDescent="0.15">
      <c r="A1487" s="86">
        <v>44271</v>
      </c>
      <c r="B1487" s="18">
        <v>234000</v>
      </c>
      <c r="C1487" s="14">
        <v>233000</v>
      </c>
      <c r="D1487" s="14">
        <v>235000</v>
      </c>
      <c r="E1487" s="14">
        <v>232000</v>
      </c>
      <c r="F1487" t="s">
        <v>1170</v>
      </c>
      <c r="G1487" s="15">
        <v>8.6E-3</v>
      </c>
    </row>
    <row r="1488" spans="1:7" x14ac:dyDescent="0.15">
      <c r="A1488" s="86">
        <v>44270</v>
      </c>
      <c r="B1488" s="18">
        <v>232000</v>
      </c>
      <c r="C1488" s="14">
        <v>233000</v>
      </c>
      <c r="D1488" s="14">
        <v>236000</v>
      </c>
      <c r="E1488" s="14">
        <v>230000</v>
      </c>
      <c r="F1488" t="s">
        <v>1065</v>
      </c>
      <c r="G1488" s="15">
        <v>-2.2000000000000001E-3</v>
      </c>
    </row>
    <row r="1489" spans="1:7" x14ac:dyDescent="0.15">
      <c r="A1489" s="86">
        <v>44269</v>
      </c>
      <c r="B1489" s="18">
        <v>232500</v>
      </c>
      <c r="C1489" s="14">
        <v>232500</v>
      </c>
      <c r="D1489" s="14">
        <v>232500</v>
      </c>
      <c r="E1489" s="14">
        <v>232500</v>
      </c>
      <c r="G1489" s="15">
        <v>0</v>
      </c>
    </row>
    <row r="1490" spans="1:7" x14ac:dyDescent="0.15">
      <c r="A1490" s="86">
        <v>44267</v>
      </c>
      <c r="B1490" s="18">
        <v>232500</v>
      </c>
      <c r="C1490" s="14">
        <v>231500</v>
      </c>
      <c r="D1490" s="14">
        <v>233500</v>
      </c>
      <c r="E1490" s="14">
        <v>229000</v>
      </c>
      <c r="F1490" t="s">
        <v>1171</v>
      </c>
      <c r="G1490" s="15">
        <v>1.7500000000000002E-2</v>
      </c>
    </row>
    <row r="1491" spans="1:7" x14ac:dyDescent="0.15">
      <c r="A1491" s="86">
        <v>44266</v>
      </c>
      <c r="B1491" s="18">
        <v>228500</v>
      </c>
      <c r="C1491" s="14">
        <v>228000</v>
      </c>
      <c r="D1491" s="14">
        <v>232000</v>
      </c>
      <c r="E1491" s="14">
        <v>227500</v>
      </c>
      <c r="F1491" t="s">
        <v>1038</v>
      </c>
      <c r="G1491" s="15">
        <v>4.4000000000000003E-3</v>
      </c>
    </row>
    <row r="1492" spans="1:7" x14ac:dyDescent="0.15">
      <c r="A1492" s="86">
        <v>44265</v>
      </c>
      <c r="B1492" s="18">
        <v>227500</v>
      </c>
      <c r="C1492" s="14">
        <v>236000</v>
      </c>
      <c r="D1492" s="14">
        <v>236500</v>
      </c>
      <c r="E1492" s="14">
        <v>227000</v>
      </c>
      <c r="F1492" t="s">
        <v>1158</v>
      </c>
      <c r="G1492" s="15">
        <v>-1.7299999999999999E-2</v>
      </c>
    </row>
    <row r="1493" spans="1:7" x14ac:dyDescent="0.15">
      <c r="A1493" s="86">
        <v>44264</v>
      </c>
      <c r="B1493" s="18">
        <v>231500</v>
      </c>
      <c r="C1493" s="14">
        <v>230500</v>
      </c>
      <c r="D1493" s="14">
        <v>234000</v>
      </c>
      <c r="E1493" s="14">
        <v>228000</v>
      </c>
      <c r="F1493" t="s">
        <v>1072</v>
      </c>
      <c r="G1493" s="15">
        <v>4.3E-3</v>
      </c>
    </row>
    <row r="1494" spans="1:7" x14ac:dyDescent="0.15">
      <c r="A1494" s="86">
        <v>44263</v>
      </c>
      <c r="B1494" s="18">
        <v>230500</v>
      </c>
      <c r="C1494" s="14">
        <v>237000</v>
      </c>
      <c r="D1494" s="14">
        <v>237500</v>
      </c>
      <c r="E1494" s="14">
        <v>230000</v>
      </c>
      <c r="F1494" t="s">
        <v>1172</v>
      </c>
      <c r="G1494" s="15">
        <v>-1.9099999999999999E-2</v>
      </c>
    </row>
    <row r="1495" spans="1:7" x14ac:dyDescent="0.15">
      <c r="A1495" s="86">
        <v>44262</v>
      </c>
      <c r="B1495" s="18">
        <v>235000</v>
      </c>
      <c r="C1495" s="14">
        <v>235000</v>
      </c>
      <c r="D1495" s="14">
        <v>235000</v>
      </c>
      <c r="E1495" s="14">
        <v>235000</v>
      </c>
      <c r="G1495" s="15">
        <v>0</v>
      </c>
    </row>
    <row r="1496" spans="1:7" x14ac:dyDescent="0.15">
      <c r="A1496" s="86">
        <v>44260</v>
      </c>
      <c r="B1496" s="18">
        <v>235000</v>
      </c>
      <c r="C1496" s="14">
        <v>230500</v>
      </c>
      <c r="D1496" s="14">
        <v>237000</v>
      </c>
      <c r="E1496" s="14">
        <v>228500</v>
      </c>
      <c r="F1496" t="s">
        <v>150</v>
      </c>
      <c r="G1496" s="15">
        <v>0</v>
      </c>
    </row>
    <row r="1497" spans="1:7" x14ac:dyDescent="0.15">
      <c r="A1497" s="86">
        <v>44259</v>
      </c>
      <c r="B1497" s="18">
        <v>235000</v>
      </c>
      <c r="C1497" s="14">
        <v>236000</v>
      </c>
      <c r="D1497" s="14">
        <v>238000</v>
      </c>
      <c r="E1497" s="14">
        <v>232500</v>
      </c>
      <c r="F1497" t="s">
        <v>1165</v>
      </c>
      <c r="G1497" s="15">
        <v>-2.0799999999999999E-2</v>
      </c>
    </row>
    <row r="1498" spans="1:7" x14ac:dyDescent="0.15">
      <c r="A1498" s="86">
        <v>44258</v>
      </c>
      <c r="B1498" s="18">
        <v>240000</v>
      </c>
      <c r="C1498" s="14">
        <v>239000</v>
      </c>
      <c r="D1498" s="14">
        <v>241500</v>
      </c>
      <c r="E1498" s="14">
        <v>236500</v>
      </c>
      <c r="F1498" t="s">
        <v>1083</v>
      </c>
      <c r="G1498" s="15">
        <v>4.1999999999999997E-3</v>
      </c>
    </row>
    <row r="1499" spans="1:7" x14ac:dyDescent="0.15">
      <c r="A1499" s="86">
        <v>44257</v>
      </c>
      <c r="B1499" s="18">
        <v>239000</v>
      </c>
      <c r="C1499" s="14">
        <v>244500</v>
      </c>
      <c r="D1499" s="14">
        <v>249000</v>
      </c>
      <c r="E1499" s="14">
        <v>237000</v>
      </c>
      <c r="F1499" t="s">
        <v>1168</v>
      </c>
      <c r="G1499" s="15">
        <v>8.3999999999999995E-3</v>
      </c>
    </row>
    <row r="1500" spans="1:7" x14ac:dyDescent="0.15">
      <c r="A1500" s="86">
        <v>44256</v>
      </c>
      <c r="B1500" s="18">
        <v>237000</v>
      </c>
      <c r="C1500" s="14">
        <v>237000</v>
      </c>
      <c r="D1500" s="14">
        <v>237000</v>
      </c>
      <c r="E1500" s="14">
        <v>237000</v>
      </c>
      <c r="G1500" s="15">
        <v>0</v>
      </c>
    </row>
    <row r="1501" spans="1:7" x14ac:dyDescent="0.15">
      <c r="A1501" s="86">
        <v>44253</v>
      </c>
      <c r="B1501" s="18">
        <v>237000</v>
      </c>
      <c r="C1501" s="14">
        <v>238500</v>
      </c>
      <c r="D1501" s="14">
        <v>248500</v>
      </c>
      <c r="E1501" s="14">
        <v>235500</v>
      </c>
      <c r="F1501" t="s">
        <v>139</v>
      </c>
      <c r="G1501" s="15">
        <v>-3.27E-2</v>
      </c>
    </row>
    <row r="1502" spans="1:7" x14ac:dyDescent="0.15">
      <c r="A1502" s="86">
        <v>44252</v>
      </c>
      <c r="B1502" s="18">
        <v>245000</v>
      </c>
      <c r="C1502" s="14">
        <v>239000</v>
      </c>
      <c r="D1502" s="14">
        <v>245000</v>
      </c>
      <c r="E1502" s="14">
        <v>235000</v>
      </c>
      <c r="F1502" t="s">
        <v>1172</v>
      </c>
      <c r="G1502" s="15">
        <v>4.2599999999999999E-2</v>
      </c>
    </row>
    <row r="1503" spans="1:7" x14ac:dyDescent="0.15">
      <c r="A1503" s="86">
        <v>44251</v>
      </c>
      <c r="B1503" s="18">
        <v>235000</v>
      </c>
      <c r="C1503" s="14">
        <v>246500</v>
      </c>
      <c r="D1503" s="14">
        <v>248500</v>
      </c>
      <c r="E1503" s="14">
        <v>235000</v>
      </c>
      <c r="F1503" t="s">
        <v>1094</v>
      </c>
      <c r="G1503" s="15">
        <v>-3.8899999999999997E-2</v>
      </c>
    </row>
    <row r="1504" spans="1:7" x14ac:dyDescent="0.15">
      <c r="A1504" s="86">
        <v>44250</v>
      </c>
      <c r="B1504" s="18">
        <v>244500</v>
      </c>
      <c r="C1504" s="14">
        <v>243000</v>
      </c>
      <c r="D1504" s="14">
        <v>247500</v>
      </c>
      <c r="E1504" s="14">
        <v>237000</v>
      </c>
      <c r="F1504" t="s">
        <v>1173</v>
      </c>
      <c r="G1504" s="15">
        <v>1.24E-2</v>
      </c>
    </row>
    <row r="1505" spans="1:7" x14ac:dyDescent="0.15">
      <c r="A1505" s="86">
        <v>44249</v>
      </c>
      <c r="B1505" s="18">
        <v>241500</v>
      </c>
      <c r="C1505" s="14">
        <v>243000</v>
      </c>
      <c r="D1505" s="14">
        <v>247000</v>
      </c>
      <c r="E1505" s="14">
        <v>240000</v>
      </c>
      <c r="F1505" t="s">
        <v>1174</v>
      </c>
      <c r="G1505" s="15">
        <v>-2.0999999999999999E-3</v>
      </c>
    </row>
    <row r="1506" spans="1:7" x14ac:dyDescent="0.15">
      <c r="A1506" s="86">
        <v>44248</v>
      </c>
      <c r="B1506" s="18">
        <v>242000</v>
      </c>
      <c r="C1506" s="14">
        <v>242000</v>
      </c>
      <c r="D1506" s="14">
        <v>242000</v>
      </c>
      <c r="E1506" s="14">
        <v>242000</v>
      </c>
      <c r="G1506" s="15">
        <v>0</v>
      </c>
    </row>
    <row r="1507" spans="1:7" x14ac:dyDescent="0.15">
      <c r="A1507" s="86">
        <v>44246</v>
      </c>
      <c r="B1507" s="18">
        <v>242000</v>
      </c>
      <c r="C1507" s="14">
        <v>236500</v>
      </c>
      <c r="D1507" s="14">
        <v>242000</v>
      </c>
      <c r="E1507" s="14">
        <v>235500</v>
      </c>
      <c r="F1507" t="s">
        <v>587</v>
      </c>
      <c r="G1507" s="15">
        <v>2.76E-2</v>
      </c>
    </row>
    <row r="1508" spans="1:7" x14ac:dyDescent="0.15">
      <c r="A1508" s="86">
        <v>44245</v>
      </c>
      <c r="B1508" s="18">
        <v>235500</v>
      </c>
      <c r="C1508" s="14">
        <v>241000</v>
      </c>
      <c r="D1508" s="14">
        <v>243500</v>
      </c>
      <c r="E1508" s="14">
        <v>235500</v>
      </c>
      <c r="F1508" t="s">
        <v>1175</v>
      </c>
      <c r="G1508" s="15">
        <v>-3.2899999999999999E-2</v>
      </c>
    </row>
    <row r="1509" spans="1:7" x14ac:dyDescent="0.15">
      <c r="A1509" s="86">
        <v>44244</v>
      </c>
      <c r="B1509" s="18">
        <v>243500</v>
      </c>
      <c r="C1509" s="14">
        <v>248000</v>
      </c>
      <c r="D1509" s="14">
        <v>248000</v>
      </c>
      <c r="E1509" s="14">
        <v>242500</v>
      </c>
      <c r="F1509" t="s">
        <v>1176</v>
      </c>
      <c r="G1509" s="15">
        <v>-1.6199999999999999E-2</v>
      </c>
    </row>
    <row r="1510" spans="1:7" x14ac:dyDescent="0.15">
      <c r="A1510" s="86">
        <v>44243</v>
      </c>
      <c r="B1510" s="18">
        <v>247500</v>
      </c>
      <c r="C1510" s="14">
        <v>249000</v>
      </c>
      <c r="D1510" s="14">
        <v>251000</v>
      </c>
      <c r="E1510" s="14">
        <v>245000</v>
      </c>
      <c r="F1510" t="s">
        <v>1177</v>
      </c>
      <c r="G1510" s="15">
        <v>0</v>
      </c>
    </row>
    <row r="1511" spans="1:7" x14ac:dyDescent="0.15">
      <c r="A1511" s="86">
        <v>44242</v>
      </c>
      <c r="B1511" s="18">
        <v>247500</v>
      </c>
      <c r="C1511" s="14">
        <v>247000</v>
      </c>
      <c r="D1511" s="14">
        <v>248500</v>
      </c>
      <c r="E1511" s="14">
        <v>244000</v>
      </c>
      <c r="F1511" t="s">
        <v>1112</v>
      </c>
      <c r="G1511" s="15">
        <v>1.0200000000000001E-2</v>
      </c>
    </row>
    <row r="1512" spans="1:7" x14ac:dyDescent="0.15">
      <c r="A1512" s="86">
        <v>44241</v>
      </c>
      <c r="B1512" s="18">
        <v>245000</v>
      </c>
      <c r="C1512" s="14">
        <v>245000</v>
      </c>
      <c r="D1512" s="14">
        <v>245000</v>
      </c>
      <c r="E1512" s="14">
        <v>245000</v>
      </c>
      <c r="G1512" s="15">
        <v>0</v>
      </c>
    </row>
    <row r="1513" spans="1:7" x14ac:dyDescent="0.15">
      <c r="A1513" s="86">
        <v>44237</v>
      </c>
      <c r="B1513" s="18">
        <v>245000</v>
      </c>
      <c r="C1513" s="14">
        <v>239000</v>
      </c>
      <c r="D1513" s="14">
        <v>246000</v>
      </c>
      <c r="E1513" s="14">
        <v>235000</v>
      </c>
      <c r="F1513" t="s">
        <v>381</v>
      </c>
      <c r="G1513" s="15">
        <v>3.5900000000000001E-2</v>
      </c>
    </row>
    <row r="1514" spans="1:7" x14ac:dyDescent="0.15">
      <c r="A1514" s="86">
        <v>44236</v>
      </c>
      <c r="B1514" s="18">
        <v>236500</v>
      </c>
      <c r="C1514" s="14">
        <v>233000</v>
      </c>
      <c r="D1514" s="14">
        <v>240500</v>
      </c>
      <c r="E1514" s="14">
        <v>232500</v>
      </c>
      <c r="F1514" t="s">
        <v>1084</v>
      </c>
      <c r="G1514" s="15">
        <v>1.0699999999999999E-2</v>
      </c>
    </row>
    <row r="1515" spans="1:7" x14ac:dyDescent="0.15">
      <c r="A1515" s="86">
        <v>44235</v>
      </c>
      <c r="B1515" s="18">
        <v>234000</v>
      </c>
      <c r="C1515" s="14">
        <v>239000</v>
      </c>
      <c r="D1515" s="14">
        <v>240500</v>
      </c>
      <c r="E1515" s="14">
        <v>228500</v>
      </c>
      <c r="F1515" t="s">
        <v>1178</v>
      </c>
      <c r="G1515" s="15">
        <v>-6.2100000000000002E-2</v>
      </c>
    </row>
    <row r="1516" spans="1:7" x14ac:dyDescent="0.15">
      <c r="A1516" s="86">
        <v>44234</v>
      </c>
      <c r="B1516" s="18">
        <v>249500</v>
      </c>
      <c r="C1516" s="14">
        <v>249500</v>
      </c>
      <c r="D1516" s="14">
        <v>249500</v>
      </c>
      <c r="E1516" s="14">
        <v>249500</v>
      </c>
      <c r="G1516" s="15">
        <v>0</v>
      </c>
    </row>
    <row r="1517" spans="1:7" x14ac:dyDescent="0.15">
      <c r="A1517" s="86">
        <v>44232</v>
      </c>
      <c r="B1517" s="18">
        <v>249500</v>
      </c>
      <c r="C1517" s="14">
        <v>249500</v>
      </c>
      <c r="D1517" s="14">
        <v>250500</v>
      </c>
      <c r="E1517" s="14">
        <v>243000</v>
      </c>
      <c r="F1517" t="s">
        <v>128</v>
      </c>
      <c r="G1517" s="15">
        <v>4.0000000000000001E-3</v>
      </c>
    </row>
    <row r="1518" spans="1:7" x14ac:dyDescent="0.15">
      <c r="A1518" s="86">
        <v>44231</v>
      </c>
      <c r="B1518" s="18">
        <v>248500</v>
      </c>
      <c r="C1518" s="14">
        <v>251000</v>
      </c>
      <c r="D1518" s="14">
        <v>253000</v>
      </c>
      <c r="E1518" s="14">
        <v>244000</v>
      </c>
      <c r="F1518" t="s">
        <v>1179</v>
      </c>
      <c r="G1518" s="15">
        <v>1.2200000000000001E-2</v>
      </c>
    </row>
    <row r="1519" spans="1:7" x14ac:dyDescent="0.15">
      <c r="A1519" s="86">
        <v>44230</v>
      </c>
      <c r="B1519" s="18">
        <v>245500</v>
      </c>
      <c r="C1519" s="14">
        <v>245000</v>
      </c>
      <c r="D1519" s="14">
        <v>252000</v>
      </c>
      <c r="E1519" s="14">
        <v>243000</v>
      </c>
      <c r="F1519" t="s">
        <v>1066</v>
      </c>
      <c r="G1519" s="15">
        <v>2.0799999999999999E-2</v>
      </c>
    </row>
    <row r="1520" spans="1:7" x14ac:dyDescent="0.15">
      <c r="A1520" s="86">
        <v>44229</v>
      </c>
      <c r="B1520" s="18">
        <v>240500</v>
      </c>
      <c r="C1520" s="14">
        <v>241000</v>
      </c>
      <c r="D1520" s="14">
        <v>243500</v>
      </c>
      <c r="E1520" s="14">
        <v>236000</v>
      </c>
      <c r="F1520" t="s">
        <v>1094</v>
      </c>
      <c r="G1520" s="15">
        <v>8.3999999999999995E-3</v>
      </c>
    </row>
    <row r="1521" spans="1:7" x14ac:dyDescent="0.15">
      <c r="A1521" s="86">
        <v>44228</v>
      </c>
      <c r="B1521" s="18">
        <v>238500</v>
      </c>
      <c r="C1521" s="14">
        <v>229000</v>
      </c>
      <c r="D1521" s="14">
        <v>238500</v>
      </c>
      <c r="E1521" s="14">
        <v>224500</v>
      </c>
      <c r="F1521" t="s">
        <v>1071</v>
      </c>
      <c r="G1521" s="15">
        <v>4.1500000000000002E-2</v>
      </c>
    </row>
    <row r="1522" spans="1:7" x14ac:dyDescent="0.15">
      <c r="A1522" s="86">
        <v>44227</v>
      </c>
      <c r="B1522" s="18">
        <v>229000</v>
      </c>
      <c r="C1522" s="14">
        <v>229000</v>
      </c>
      <c r="D1522" s="14">
        <v>229000</v>
      </c>
      <c r="E1522" s="14">
        <v>229000</v>
      </c>
      <c r="G1522" s="15">
        <v>0</v>
      </c>
    </row>
    <row r="1523" spans="1:7" x14ac:dyDescent="0.15">
      <c r="A1523" s="86">
        <v>44225</v>
      </c>
      <c r="B1523" s="18">
        <v>229000</v>
      </c>
      <c r="C1523" s="14">
        <v>242000</v>
      </c>
      <c r="D1523" s="14">
        <v>242500</v>
      </c>
      <c r="E1523" s="14">
        <v>227000</v>
      </c>
      <c r="F1523" t="s">
        <v>1180</v>
      </c>
      <c r="G1523" s="15">
        <v>-3.9800000000000002E-2</v>
      </c>
    </row>
    <row r="1524" spans="1:7" x14ac:dyDescent="0.15">
      <c r="A1524" s="86">
        <v>44224</v>
      </c>
      <c r="B1524" s="18">
        <v>238500</v>
      </c>
      <c r="C1524" s="14">
        <v>238000</v>
      </c>
      <c r="D1524" s="14">
        <v>243500</v>
      </c>
      <c r="E1524" s="14">
        <v>236500</v>
      </c>
      <c r="F1524" t="s">
        <v>1058</v>
      </c>
      <c r="G1524" s="15">
        <v>-2.8500000000000001E-2</v>
      </c>
    </row>
    <row r="1525" spans="1:7" x14ac:dyDescent="0.15">
      <c r="A1525" s="86">
        <v>44223</v>
      </c>
      <c r="B1525" s="18">
        <v>245500</v>
      </c>
      <c r="C1525" s="14">
        <v>252500</v>
      </c>
      <c r="D1525" s="14">
        <v>254500</v>
      </c>
      <c r="E1525" s="14">
        <v>245000</v>
      </c>
      <c r="F1525" t="s">
        <v>1094</v>
      </c>
      <c r="G1525" s="15">
        <v>-2.3900000000000001E-2</v>
      </c>
    </row>
    <row r="1526" spans="1:7" x14ac:dyDescent="0.15">
      <c r="A1526" s="86">
        <v>44222</v>
      </c>
      <c r="B1526" s="18">
        <v>251500</v>
      </c>
      <c r="C1526" s="14">
        <v>260000</v>
      </c>
      <c r="D1526" s="14">
        <v>260500</v>
      </c>
      <c r="E1526" s="14">
        <v>250500</v>
      </c>
      <c r="F1526" t="s">
        <v>1136</v>
      </c>
      <c r="G1526" s="15">
        <v>-3.27E-2</v>
      </c>
    </row>
    <row r="1527" spans="1:7" x14ac:dyDescent="0.15">
      <c r="A1527" s="86">
        <v>44221</v>
      </c>
      <c r="B1527" s="18">
        <v>260000</v>
      </c>
      <c r="C1527" s="14">
        <v>253000</v>
      </c>
      <c r="D1527" s="14">
        <v>261500</v>
      </c>
      <c r="E1527" s="14">
        <v>251500</v>
      </c>
      <c r="F1527" t="s">
        <v>1181</v>
      </c>
      <c r="G1527" s="15">
        <v>1.17E-2</v>
      </c>
    </row>
    <row r="1528" spans="1:7" x14ac:dyDescent="0.15">
      <c r="A1528" s="86">
        <v>44220</v>
      </c>
      <c r="B1528" s="18">
        <v>257000</v>
      </c>
      <c r="C1528" s="14">
        <v>257000</v>
      </c>
      <c r="D1528" s="14">
        <v>257000</v>
      </c>
      <c r="E1528" s="14">
        <v>257000</v>
      </c>
      <c r="G1528" s="15">
        <v>0</v>
      </c>
    </row>
    <row r="1529" spans="1:7" x14ac:dyDescent="0.15">
      <c r="A1529" s="86">
        <v>44218</v>
      </c>
      <c r="B1529" s="18">
        <v>257000</v>
      </c>
      <c r="C1529" s="14">
        <v>261000</v>
      </c>
      <c r="D1529" s="14">
        <v>263000</v>
      </c>
      <c r="E1529" s="14">
        <v>257000</v>
      </c>
      <c r="F1529" t="s">
        <v>1182</v>
      </c>
      <c r="G1529" s="15">
        <v>-2.8400000000000002E-2</v>
      </c>
    </row>
    <row r="1530" spans="1:7" x14ac:dyDescent="0.15">
      <c r="A1530" s="86">
        <v>44217</v>
      </c>
      <c r="B1530" s="18">
        <v>264500</v>
      </c>
      <c r="C1530" s="14">
        <v>264000</v>
      </c>
      <c r="D1530" s="14">
        <v>266500</v>
      </c>
      <c r="E1530" s="14">
        <v>259500</v>
      </c>
      <c r="F1530" t="s">
        <v>145</v>
      </c>
      <c r="G1530" s="15">
        <v>2.12E-2</v>
      </c>
    </row>
    <row r="1531" spans="1:7" x14ac:dyDescent="0.15">
      <c r="A1531" s="86">
        <v>44216</v>
      </c>
      <c r="B1531" s="18">
        <v>259000</v>
      </c>
      <c r="C1531" s="14">
        <v>271000</v>
      </c>
      <c r="D1531" s="14">
        <v>276500</v>
      </c>
      <c r="E1531" s="14">
        <v>254000</v>
      </c>
      <c r="F1531" t="s">
        <v>1183</v>
      </c>
      <c r="G1531" s="15">
        <v>-9.5999999999999992E-3</v>
      </c>
    </row>
    <row r="1532" spans="1:7" x14ac:dyDescent="0.15">
      <c r="A1532" s="86">
        <v>44215</v>
      </c>
      <c r="B1532" s="18">
        <v>261500</v>
      </c>
      <c r="C1532" s="14">
        <v>244000</v>
      </c>
      <c r="D1532" s="14">
        <v>261500</v>
      </c>
      <c r="E1532" s="14">
        <v>244000</v>
      </c>
      <c r="F1532" t="s">
        <v>1068</v>
      </c>
      <c r="G1532" s="15">
        <v>8.5099999999999995E-2</v>
      </c>
    </row>
    <row r="1533" spans="1:7" x14ac:dyDescent="0.15">
      <c r="A1533" s="86">
        <v>44214</v>
      </c>
      <c r="B1533" s="18">
        <v>241000</v>
      </c>
      <c r="C1533" s="14">
        <v>237500</v>
      </c>
      <c r="D1533" s="14">
        <v>246500</v>
      </c>
      <c r="E1533" s="14">
        <v>234000</v>
      </c>
      <c r="F1533" t="s">
        <v>1184</v>
      </c>
      <c r="G1533" s="15">
        <v>4.1999999999999997E-3</v>
      </c>
    </row>
    <row r="1534" spans="1:7" x14ac:dyDescent="0.15">
      <c r="A1534" s="86">
        <v>44213</v>
      </c>
      <c r="B1534" s="18">
        <v>240000</v>
      </c>
      <c r="C1534" s="14">
        <v>240000</v>
      </c>
      <c r="D1534" s="14">
        <v>240000</v>
      </c>
      <c r="E1534" s="14">
        <v>240000</v>
      </c>
      <c r="G1534" s="15">
        <v>0</v>
      </c>
    </row>
    <row r="1535" spans="1:7" x14ac:dyDescent="0.15">
      <c r="A1535" s="86">
        <v>44211</v>
      </c>
      <c r="B1535" s="18">
        <v>240000</v>
      </c>
      <c r="C1535" s="14">
        <v>252000</v>
      </c>
      <c r="D1535" s="14">
        <v>255000</v>
      </c>
      <c r="E1535" s="14">
        <v>239000</v>
      </c>
      <c r="F1535" t="s">
        <v>1185</v>
      </c>
      <c r="G1535" s="15">
        <v>-4.19E-2</v>
      </c>
    </row>
    <row r="1536" spans="1:7" x14ac:dyDescent="0.15">
      <c r="A1536" s="86">
        <v>44210</v>
      </c>
      <c r="B1536" s="18">
        <v>250500</v>
      </c>
      <c r="C1536" s="14">
        <v>251500</v>
      </c>
      <c r="D1536" s="14">
        <v>255000</v>
      </c>
      <c r="E1536" s="14">
        <v>248500</v>
      </c>
      <c r="F1536" t="s">
        <v>1186</v>
      </c>
      <c r="G1536" s="15">
        <v>-3.2800000000000003E-2</v>
      </c>
    </row>
    <row r="1537" spans="1:7" x14ac:dyDescent="0.15">
      <c r="A1537" s="86">
        <v>44209</v>
      </c>
      <c r="B1537" s="18">
        <v>259000</v>
      </c>
      <c r="C1537" s="14">
        <v>260000</v>
      </c>
      <c r="D1537" s="14">
        <v>265000</v>
      </c>
      <c r="E1537" s="14">
        <v>250000</v>
      </c>
      <c r="F1537" t="s">
        <v>1187</v>
      </c>
      <c r="G1537" s="15">
        <v>-7.7000000000000002E-3</v>
      </c>
    </row>
    <row r="1538" spans="1:7" x14ac:dyDescent="0.15">
      <c r="A1538" s="86">
        <v>44208</v>
      </c>
      <c r="B1538" s="18">
        <v>261000</v>
      </c>
      <c r="C1538" s="14">
        <v>263000</v>
      </c>
      <c r="D1538" s="14">
        <v>274500</v>
      </c>
      <c r="E1538" s="14">
        <v>250500</v>
      </c>
      <c r="F1538" t="s">
        <v>1188</v>
      </c>
      <c r="G1538" s="15">
        <v>-2.4299999999999999E-2</v>
      </c>
    </row>
    <row r="1539" spans="1:7" x14ac:dyDescent="0.15">
      <c r="A1539" s="86">
        <v>44207</v>
      </c>
      <c r="B1539" s="18">
        <v>267500</v>
      </c>
      <c r="C1539" s="14">
        <v>257000</v>
      </c>
      <c r="D1539" s="14">
        <v>288500</v>
      </c>
      <c r="E1539" s="14">
        <v>256000</v>
      </c>
      <c r="F1539" t="s">
        <v>1189</v>
      </c>
      <c r="G1539" s="15">
        <v>8.7400000000000005E-2</v>
      </c>
    </row>
    <row r="1540" spans="1:7" x14ac:dyDescent="0.15">
      <c r="A1540" s="86">
        <v>44206</v>
      </c>
      <c r="B1540" s="18">
        <v>246000</v>
      </c>
      <c r="C1540" s="14">
        <v>246000</v>
      </c>
      <c r="D1540" s="14">
        <v>246000</v>
      </c>
      <c r="E1540" s="14">
        <v>246000</v>
      </c>
      <c r="G1540" s="15">
        <v>0</v>
      </c>
    </row>
    <row r="1541" spans="1:7" x14ac:dyDescent="0.15">
      <c r="A1541" s="86">
        <v>44204</v>
      </c>
      <c r="B1541" s="18">
        <v>246000</v>
      </c>
      <c r="C1541" s="14">
        <v>240500</v>
      </c>
      <c r="D1541" s="14">
        <v>257000</v>
      </c>
      <c r="E1541" s="14">
        <v>225000</v>
      </c>
      <c r="F1541" t="s">
        <v>1190</v>
      </c>
      <c r="G1541" s="15">
        <v>0.19420000000000001</v>
      </c>
    </row>
    <row r="1542" spans="1:7" x14ac:dyDescent="0.15">
      <c r="A1542" s="86">
        <v>44203</v>
      </c>
      <c r="B1542" s="18">
        <v>206000</v>
      </c>
      <c r="C1542" s="14">
        <v>205500</v>
      </c>
      <c r="D1542" s="14">
        <v>210500</v>
      </c>
      <c r="E1542" s="14">
        <v>204500</v>
      </c>
      <c r="F1542" t="s">
        <v>1058</v>
      </c>
      <c r="G1542" s="15">
        <v>1.4800000000000001E-2</v>
      </c>
    </row>
    <row r="1543" spans="1:7" x14ac:dyDescent="0.15">
      <c r="A1543" s="86">
        <v>44202</v>
      </c>
      <c r="B1543" s="18">
        <v>203000</v>
      </c>
      <c r="C1543" s="14">
        <v>209500</v>
      </c>
      <c r="D1543" s="14">
        <v>211000</v>
      </c>
      <c r="E1543" s="14">
        <v>202500</v>
      </c>
      <c r="F1543" t="s">
        <v>1191</v>
      </c>
      <c r="G1543" s="15">
        <v>-3.1E-2</v>
      </c>
    </row>
    <row r="1544" spans="1:7" x14ac:dyDescent="0.15">
      <c r="A1544" s="86">
        <v>44201</v>
      </c>
      <c r="B1544" s="18">
        <v>209500</v>
      </c>
      <c r="C1544" s="14">
        <v>207000</v>
      </c>
      <c r="D1544" s="14">
        <v>213000</v>
      </c>
      <c r="E1544" s="14">
        <v>205000</v>
      </c>
      <c r="F1544" t="s">
        <v>1192</v>
      </c>
      <c r="G1544" s="15">
        <v>9.5999999999999992E-3</v>
      </c>
    </row>
    <row r="1545" spans="1:7" x14ac:dyDescent="0.15">
      <c r="A1545" s="86">
        <v>44200</v>
      </c>
      <c r="B1545" s="18">
        <v>207500</v>
      </c>
      <c r="C1545" s="14">
        <v>192000</v>
      </c>
      <c r="D1545" s="14">
        <v>211000</v>
      </c>
      <c r="E1545" s="14">
        <v>192000</v>
      </c>
      <c r="F1545" t="s">
        <v>1193</v>
      </c>
      <c r="G1545" s="15">
        <v>8.0699999999999994E-2</v>
      </c>
    </row>
    <row r="1546" spans="1:7" x14ac:dyDescent="0.15">
      <c r="A1546" s="86">
        <v>44195</v>
      </c>
      <c r="B1546" s="18">
        <v>192000</v>
      </c>
      <c r="C1546" s="14">
        <v>190500</v>
      </c>
      <c r="D1546" s="14">
        <v>193500</v>
      </c>
      <c r="E1546" s="14">
        <v>189000</v>
      </c>
      <c r="F1546" t="s">
        <v>177</v>
      </c>
      <c r="G1546" s="15">
        <v>7.9000000000000008E-3</v>
      </c>
    </row>
    <row r="1547" spans="1:7" x14ac:dyDescent="0.15">
      <c r="A1547" s="86">
        <v>44194</v>
      </c>
      <c r="B1547" s="18">
        <v>190500</v>
      </c>
      <c r="C1547" s="14">
        <v>191500</v>
      </c>
      <c r="D1547" s="14">
        <v>191500</v>
      </c>
      <c r="E1547" s="14">
        <v>188000</v>
      </c>
      <c r="F1547" t="s">
        <v>1161</v>
      </c>
      <c r="G1547" s="15">
        <v>5.3E-3</v>
      </c>
    </row>
    <row r="1548" spans="1:7" x14ac:dyDescent="0.15">
      <c r="A1548" s="86">
        <v>44193</v>
      </c>
      <c r="B1548" s="18">
        <v>189500</v>
      </c>
      <c r="C1548" s="14">
        <v>189000</v>
      </c>
      <c r="D1548" s="14">
        <v>193000</v>
      </c>
      <c r="E1548" s="14">
        <v>187500</v>
      </c>
      <c r="F1548" t="s">
        <v>1194</v>
      </c>
      <c r="G1548" s="15">
        <v>1.34E-2</v>
      </c>
    </row>
    <row r="1549" spans="1:7" x14ac:dyDescent="0.15">
      <c r="A1549" s="86">
        <v>44192</v>
      </c>
      <c r="B1549" s="18">
        <v>187000</v>
      </c>
      <c r="C1549" s="14">
        <v>187000</v>
      </c>
      <c r="D1549" s="14">
        <v>187000</v>
      </c>
      <c r="E1549" s="14">
        <v>187000</v>
      </c>
      <c r="G1549" s="15">
        <v>0</v>
      </c>
    </row>
    <row r="1550" spans="1:7" x14ac:dyDescent="0.15">
      <c r="A1550" s="86">
        <v>44189</v>
      </c>
      <c r="B1550" s="18">
        <v>187000</v>
      </c>
      <c r="C1550" s="14">
        <v>185000</v>
      </c>
      <c r="D1550" s="14">
        <v>189000</v>
      </c>
      <c r="E1550" s="14">
        <v>185000</v>
      </c>
      <c r="F1550" t="s">
        <v>123</v>
      </c>
      <c r="G1550" s="15">
        <v>1.0800000000000001E-2</v>
      </c>
    </row>
    <row r="1551" spans="1:7" x14ac:dyDescent="0.15">
      <c r="A1551" s="86">
        <v>44188</v>
      </c>
      <c r="B1551" s="18">
        <v>185000</v>
      </c>
      <c r="C1551" s="14">
        <v>183000</v>
      </c>
      <c r="D1551" s="14">
        <v>188500</v>
      </c>
      <c r="E1551" s="14">
        <v>183000</v>
      </c>
      <c r="F1551" t="s">
        <v>1057</v>
      </c>
      <c r="G1551" s="15">
        <v>5.4000000000000003E-3</v>
      </c>
    </row>
    <row r="1552" spans="1:7" x14ac:dyDescent="0.15">
      <c r="A1552" s="86">
        <v>44187</v>
      </c>
      <c r="B1552" s="18">
        <v>184000</v>
      </c>
      <c r="C1552" s="14">
        <v>186000</v>
      </c>
      <c r="D1552" s="14">
        <v>186500</v>
      </c>
      <c r="E1552" s="14">
        <v>183000</v>
      </c>
      <c r="F1552" t="s">
        <v>1195</v>
      </c>
      <c r="G1552" s="15">
        <v>-1.6E-2</v>
      </c>
    </row>
    <row r="1553" spans="1:7" x14ac:dyDescent="0.15">
      <c r="A1553" s="86">
        <v>44186</v>
      </c>
      <c r="B1553" s="18">
        <v>187000</v>
      </c>
      <c r="C1553" s="14">
        <v>189000</v>
      </c>
      <c r="D1553" s="14">
        <v>189000</v>
      </c>
      <c r="E1553" s="14">
        <v>185000</v>
      </c>
      <c r="F1553" t="s">
        <v>1087</v>
      </c>
      <c r="G1553" s="15">
        <v>-1.06E-2</v>
      </c>
    </row>
    <row r="1554" spans="1:7" x14ac:dyDescent="0.15">
      <c r="A1554" s="86">
        <v>44185</v>
      </c>
      <c r="B1554" s="18">
        <v>189000</v>
      </c>
      <c r="C1554" s="14">
        <v>189000</v>
      </c>
      <c r="D1554" s="14">
        <v>189000</v>
      </c>
      <c r="E1554" s="14">
        <v>189000</v>
      </c>
      <c r="G1554" s="15">
        <v>0</v>
      </c>
    </row>
    <row r="1555" spans="1:7" x14ac:dyDescent="0.15">
      <c r="A1555" s="86">
        <v>44183</v>
      </c>
      <c r="B1555" s="18">
        <v>189000</v>
      </c>
      <c r="C1555" s="14">
        <v>191000</v>
      </c>
      <c r="D1555" s="14">
        <v>191000</v>
      </c>
      <c r="E1555" s="14">
        <v>189000</v>
      </c>
      <c r="F1555" t="s">
        <v>1196</v>
      </c>
      <c r="G1555" s="15">
        <v>-7.9000000000000008E-3</v>
      </c>
    </row>
    <row r="1556" spans="1:7" x14ac:dyDescent="0.15">
      <c r="A1556" s="86">
        <v>44182</v>
      </c>
      <c r="B1556" s="18">
        <v>190500</v>
      </c>
      <c r="C1556" s="14">
        <v>190000</v>
      </c>
      <c r="D1556" s="14">
        <v>190500</v>
      </c>
      <c r="E1556" s="14">
        <v>188000</v>
      </c>
      <c r="F1556" t="s">
        <v>1197</v>
      </c>
      <c r="G1556" s="15">
        <v>2.5999999999999999E-3</v>
      </c>
    </row>
    <row r="1557" spans="1:7" x14ac:dyDescent="0.15">
      <c r="A1557" s="86">
        <v>44181</v>
      </c>
      <c r="B1557" s="18">
        <v>190000</v>
      </c>
      <c r="C1557" s="14">
        <v>190500</v>
      </c>
      <c r="D1557" s="14">
        <v>193000</v>
      </c>
      <c r="E1557" s="14">
        <v>189500</v>
      </c>
      <c r="F1557" t="s">
        <v>1112</v>
      </c>
      <c r="G1557" s="15">
        <v>8.0000000000000002E-3</v>
      </c>
    </row>
    <row r="1558" spans="1:7" x14ac:dyDescent="0.15">
      <c r="A1558" s="86">
        <v>44180</v>
      </c>
      <c r="B1558" s="18">
        <v>188500</v>
      </c>
      <c r="C1558" s="14">
        <v>189000</v>
      </c>
      <c r="D1558" s="14">
        <v>190500</v>
      </c>
      <c r="E1558" s="14">
        <v>186000</v>
      </c>
      <c r="F1558" t="s">
        <v>1123</v>
      </c>
      <c r="G1558" s="15">
        <v>-2.5999999999999999E-3</v>
      </c>
    </row>
    <row r="1559" spans="1:7" x14ac:dyDescent="0.15">
      <c r="A1559" s="86">
        <v>44179</v>
      </c>
      <c r="B1559" s="18">
        <v>189000</v>
      </c>
      <c r="C1559" s="14">
        <v>190500</v>
      </c>
      <c r="D1559" s="14">
        <v>191000</v>
      </c>
      <c r="E1559" s="14">
        <v>187000</v>
      </c>
      <c r="F1559" t="s">
        <v>1047</v>
      </c>
      <c r="G1559" s="15">
        <v>-5.3E-3</v>
      </c>
    </row>
    <row r="1560" spans="1:7" x14ac:dyDescent="0.15">
      <c r="A1560" s="86">
        <v>44178</v>
      </c>
      <c r="B1560" s="18">
        <v>190000</v>
      </c>
      <c r="C1560" s="14">
        <v>190000</v>
      </c>
      <c r="D1560" s="14">
        <v>190000</v>
      </c>
      <c r="E1560" s="14">
        <v>190000</v>
      </c>
      <c r="G1560" s="15">
        <v>0</v>
      </c>
    </row>
    <row r="1561" spans="1:7" x14ac:dyDescent="0.15">
      <c r="A1561" s="86">
        <v>44176</v>
      </c>
      <c r="B1561" s="18">
        <v>190000</v>
      </c>
      <c r="C1561" s="14">
        <v>193000</v>
      </c>
      <c r="D1561" s="14">
        <v>194500</v>
      </c>
      <c r="E1561" s="14">
        <v>190000</v>
      </c>
      <c r="F1561" t="s">
        <v>115</v>
      </c>
      <c r="G1561" s="15">
        <v>-7.7999999999999996E-3</v>
      </c>
    </row>
    <row r="1562" spans="1:7" x14ac:dyDescent="0.15">
      <c r="A1562" s="86">
        <v>44175</v>
      </c>
      <c r="B1562" s="18">
        <v>191500</v>
      </c>
      <c r="C1562" s="14">
        <v>189000</v>
      </c>
      <c r="D1562" s="14">
        <v>193500</v>
      </c>
      <c r="E1562" s="14">
        <v>188500</v>
      </c>
      <c r="F1562" t="s">
        <v>1198</v>
      </c>
      <c r="G1562" s="15">
        <v>0</v>
      </c>
    </row>
    <row r="1563" spans="1:7" x14ac:dyDescent="0.15">
      <c r="A1563" s="86">
        <v>44174</v>
      </c>
      <c r="B1563" s="18">
        <v>191500</v>
      </c>
      <c r="C1563" s="14">
        <v>188000</v>
      </c>
      <c r="D1563" s="14">
        <v>192000</v>
      </c>
      <c r="E1563" s="14">
        <v>187000</v>
      </c>
      <c r="F1563" t="s">
        <v>1075</v>
      </c>
      <c r="G1563" s="15">
        <v>2.6800000000000001E-2</v>
      </c>
    </row>
    <row r="1564" spans="1:7" x14ac:dyDescent="0.15">
      <c r="A1564" s="86">
        <v>44173</v>
      </c>
      <c r="B1564" s="18">
        <v>186500</v>
      </c>
      <c r="C1564" s="14">
        <v>191500</v>
      </c>
      <c r="D1564" s="14">
        <v>192000</v>
      </c>
      <c r="E1564" s="14">
        <v>186000</v>
      </c>
      <c r="F1564" t="s">
        <v>1109</v>
      </c>
      <c r="G1564" s="15">
        <v>-3.6200000000000003E-2</v>
      </c>
    </row>
    <row r="1565" spans="1:7" x14ac:dyDescent="0.15">
      <c r="A1565" s="86">
        <v>44172</v>
      </c>
      <c r="B1565" s="18">
        <v>193500</v>
      </c>
      <c r="C1565" s="14">
        <v>195000</v>
      </c>
      <c r="D1565" s="14">
        <v>198500</v>
      </c>
      <c r="E1565" s="14">
        <v>190500</v>
      </c>
      <c r="F1565" t="s">
        <v>1199</v>
      </c>
      <c r="G1565" s="15">
        <v>-1.5299999999999999E-2</v>
      </c>
    </row>
    <row r="1566" spans="1:7" x14ac:dyDescent="0.15">
      <c r="A1566" s="86">
        <v>44171</v>
      </c>
      <c r="B1566" s="18">
        <v>196500</v>
      </c>
      <c r="C1566" s="14">
        <v>196500</v>
      </c>
      <c r="D1566" s="14">
        <v>196500</v>
      </c>
      <c r="E1566" s="14">
        <v>196500</v>
      </c>
      <c r="G1566" s="15">
        <v>0</v>
      </c>
    </row>
    <row r="1567" spans="1:7" x14ac:dyDescent="0.15">
      <c r="A1567" s="86">
        <v>44169</v>
      </c>
      <c r="B1567" s="18">
        <v>196500</v>
      </c>
      <c r="C1567" s="14">
        <v>198000</v>
      </c>
      <c r="D1567" s="14">
        <v>199000</v>
      </c>
      <c r="E1567" s="14">
        <v>195000</v>
      </c>
      <c r="F1567" t="s">
        <v>1200</v>
      </c>
      <c r="G1567" s="15">
        <v>0</v>
      </c>
    </row>
    <row r="1568" spans="1:7" x14ac:dyDescent="0.15">
      <c r="A1568" s="86">
        <v>44168</v>
      </c>
      <c r="B1568" s="18">
        <v>196500</v>
      </c>
      <c r="C1568" s="14">
        <v>182500</v>
      </c>
      <c r="D1568" s="14">
        <v>196500</v>
      </c>
      <c r="E1568" s="14">
        <v>182000</v>
      </c>
      <c r="F1568" t="s">
        <v>1201</v>
      </c>
      <c r="G1568" s="15">
        <v>7.6700000000000004E-2</v>
      </c>
    </row>
    <row r="1569" spans="1:7" x14ac:dyDescent="0.15">
      <c r="A1569" s="86">
        <v>44167</v>
      </c>
      <c r="B1569" s="18">
        <v>182500</v>
      </c>
      <c r="C1569" s="14">
        <v>183500</v>
      </c>
      <c r="D1569" s="14">
        <v>184500</v>
      </c>
      <c r="E1569" s="14">
        <v>181500</v>
      </c>
      <c r="F1569" t="s">
        <v>125</v>
      </c>
      <c r="G1569" s="15">
        <v>-5.4000000000000003E-3</v>
      </c>
    </row>
    <row r="1570" spans="1:7" x14ac:dyDescent="0.15">
      <c r="A1570" s="86">
        <v>44166</v>
      </c>
      <c r="B1570" s="18">
        <v>183500</v>
      </c>
      <c r="C1570" s="14">
        <v>183000</v>
      </c>
      <c r="D1570" s="14">
        <v>184500</v>
      </c>
      <c r="E1570" s="14">
        <v>179500</v>
      </c>
      <c r="F1570" t="s">
        <v>326</v>
      </c>
      <c r="G1570" s="15">
        <v>1.0999999999999999E-2</v>
      </c>
    </row>
    <row r="1571" spans="1:7" x14ac:dyDescent="0.15">
      <c r="A1571" s="86">
        <v>44165</v>
      </c>
      <c r="B1571" s="18">
        <v>181500</v>
      </c>
      <c r="C1571" s="14">
        <v>181500</v>
      </c>
      <c r="D1571" s="14">
        <v>188500</v>
      </c>
      <c r="E1571" s="14">
        <v>181500</v>
      </c>
      <c r="F1571" t="s">
        <v>1202</v>
      </c>
      <c r="G1571" s="15">
        <v>2.8E-3</v>
      </c>
    </row>
    <row r="1572" spans="1:7" x14ac:dyDescent="0.15">
      <c r="A1572" s="86">
        <v>44164</v>
      </c>
      <c r="B1572" s="18">
        <v>181000</v>
      </c>
      <c r="C1572" s="14">
        <v>181000</v>
      </c>
      <c r="D1572" s="14">
        <v>181000</v>
      </c>
      <c r="E1572" s="14">
        <v>181000</v>
      </c>
      <c r="G1572" s="15">
        <v>0</v>
      </c>
    </row>
    <row r="1573" spans="1:7" x14ac:dyDescent="0.15">
      <c r="A1573" s="86">
        <v>44162</v>
      </c>
      <c r="B1573" s="18">
        <v>181000</v>
      </c>
      <c r="C1573" s="14">
        <v>179000</v>
      </c>
      <c r="D1573" s="14">
        <v>181000</v>
      </c>
      <c r="E1573" s="14">
        <v>178000</v>
      </c>
      <c r="F1573" t="s">
        <v>380</v>
      </c>
      <c r="G1573" s="15">
        <v>1.12E-2</v>
      </c>
    </row>
    <row r="1574" spans="1:7" x14ac:dyDescent="0.15">
      <c r="A1574" s="86">
        <v>44161</v>
      </c>
      <c r="B1574" s="18">
        <v>179000</v>
      </c>
      <c r="C1574" s="14">
        <v>179500</v>
      </c>
      <c r="D1574" s="14">
        <v>181000</v>
      </c>
      <c r="E1574" s="14">
        <v>178000</v>
      </c>
      <c r="F1574" t="s">
        <v>1203</v>
      </c>
      <c r="G1574" s="15">
        <v>-2.8E-3</v>
      </c>
    </row>
    <row r="1575" spans="1:7" x14ac:dyDescent="0.15">
      <c r="A1575" s="86">
        <v>44160</v>
      </c>
      <c r="B1575" s="18">
        <v>179500</v>
      </c>
      <c r="C1575" s="14">
        <v>183500</v>
      </c>
      <c r="D1575" s="14">
        <v>184000</v>
      </c>
      <c r="E1575" s="14">
        <v>178000</v>
      </c>
      <c r="F1575" t="s">
        <v>1106</v>
      </c>
      <c r="G1575" s="15">
        <v>-8.3000000000000001E-3</v>
      </c>
    </row>
    <row r="1576" spans="1:7" x14ac:dyDescent="0.15">
      <c r="A1576" s="86">
        <v>44159</v>
      </c>
      <c r="B1576" s="18">
        <v>181000</v>
      </c>
      <c r="C1576" s="14">
        <v>181000</v>
      </c>
      <c r="D1576" s="14">
        <v>183000</v>
      </c>
      <c r="E1576" s="14">
        <v>179500</v>
      </c>
      <c r="F1576" t="s">
        <v>93</v>
      </c>
      <c r="G1576" s="15">
        <v>1.12E-2</v>
      </c>
    </row>
    <row r="1577" spans="1:7" x14ac:dyDescent="0.15">
      <c r="A1577" s="86">
        <v>44158</v>
      </c>
      <c r="B1577" s="18">
        <v>179000</v>
      </c>
      <c r="C1577" s="14">
        <v>175500</v>
      </c>
      <c r="D1577" s="14">
        <v>179500</v>
      </c>
      <c r="E1577" s="14">
        <v>175000</v>
      </c>
      <c r="F1577" t="s">
        <v>1057</v>
      </c>
      <c r="G1577" s="15">
        <v>1.1299999999999999E-2</v>
      </c>
    </row>
    <row r="1578" spans="1:7" x14ac:dyDescent="0.15">
      <c r="A1578" s="86">
        <v>44157</v>
      </c>
      <c r="B1578" s="18">
        <v>177000</v>
      </c>
      <c r="C1578" s="14">
        <v>177000</v>
      </c>
      <c r="D1578" s="14">
        <v>177000</v>
      </c>
      <c r="E1578" s="14">
        <v>177000</v>
      </c>
      <c r="G1578" s="15">
        <v>0</v>
      </c>
    </row>
    <row r="1579" spans="1:7" x14ac:dyDescent="0.15">
      <c r="A1579" s="86">
        <v>44155</v>
      </c>
      <c r="B1579" s="18">
        <v>177000</v>
      </c>
      <c r="C1579" s="14">
        <v>179000</v>
      </c>
      <c r="D1579" s="14">
        <v>179500</v>
      </c>
      <c r="E1579" s="14">
        <v>177000</v>
      </c>
      <c r="F1579" t="s">
        <v>226</v>
      </c>
      <c r="G1579" s="15">
        <v>-1.67E-2</v>
      </c>
    </row>
    <row r="1580" spans="1:7" x14ac:dyDescent="0.15">
      <c r="A1580" s="86">
        <v>44154</v>
      </c>
      <c r="B1580" s="18">
        <v>180000</v>
      </c>
      <c r="C1580" s="14">
        <v>179000</v>
      </c>
      <c r="D1580" s="14">
        <v>181500</v>
      </c>
      <c r="E1580" s="14">
        <v>177500</v>
      </c>
      <c r="F1580" t="s">
        <v>1199</v>
      </c>
      <c r="G1580" s="15">
        <v>2.8E-3</v>
      </c>
    </row>
    <row r="1581" spans="1:7" x14ac:dyDescent="0.15">
      <c r="A1581" s="86">
        <v>44153</v>
      </c>
      <c r="B1581" s="18">
        <v>179500</v>
      </c>
      <c r="C1581" s="14">
        <v>183500</v>
      </c>
      <c r="D1581" s="14">
        <v>185500</v>
      </c>
      <c r="E1581" s="14">
        <v>179000</v>
      </c>
      <c r="F1581" t="s">
        <v>1204</v>
      </c>
      <c r="G1581" s="15">
        <v>-1.6400000000000001E-2</v>
      </c>
    </row>
    <row r="1582" spans="1:7" x14ac:dyDescent="0.15">
      <c r="A1582" s="86">
        <v>44152</v>
      </c>
      <c r="B1582" s="18">
        <v>182500</v>
      </c>
      <c r="C1582" s="14">
        <v>179500</v>
      </c>
      <c r="D1582" s="14">
        <v>185000</v>
      </c>
      <c r="E1582" s="14">
        <v>178000</v>
      </c>
      <c r="F1582" t="s">
        <v>1205</v>
      </c>
      <c r="G1582" s="15">
        <v>1.9599999999999999E-2</v>
      </c>
    </row>
    <row r="1583" spans="1:7" x14ac:dyDescent="0.15">
      <c r="A1583" s="86">
        <v>44151</v>
      </c>
      <c r="B1583" s="18">
        <v>179000</v>
      </c>
      <c r="C1583" s="14">
        <v>182500</v>
      </c>
      <c r="D1583" s="14">
        <v>183500</v>
      </c>
      <c r="E1583" s="14">
        <v>178000</v>
      </c>
      <c r="F1583" t="s">
        <v>1097</v>
      </c>
      <c r="G1583" s="15">
        <v>8.5000000000000006E-3</v>
      </c>
    </row>
    <row r="1584" spans="1:7" x14ac:dyDescent="0.15">
      <c r="A1584" s="86">
        <v>44150</v>
      </c>
      <c r="B1584" s="18">
        <v>177500</v>
      </c>
      <c r="C1584" s="14">
        <v>177500</v>
      </c>
      <c r="D1584" s="14">
        <v>177500</v>
      </c>
      <c r="E1584" s="14">
        <v>177500</v>
      </c>
      <c r="G1584" s="15">
        <v>0</v>
      </c>
    </row>
    <row r="1585" spans="1:7" x14ac:dyDescent="0.15">
      <c r="A1585" s="86">
        <v>44148</v>
      </c>
      <c r="B1585" s="18">
        <v>177500</v>
      </c>
      <c r="C1585" s="14">
        <v>174000</v>
      </c>
      <c r="D1585" s="14">
        <v>178500</v>
      </c>
      <c r="E1585" s="14">
        <v>173500</v>
      </c>
      <c r="F1585" t="s">
        <v>1151</v>
      </c>
      <c r="G1585" s="15">
        <v>2.01E-2</v>
      </c>
    </row>
    <row r="1586" spans="1:7" x14ac:dyDescent="0.15">
      <c r="A1586" s="86">
        <v>44147</v>
      </c>
      <c r="B1586" s="18">
        <v>174000</v>
      </c>
      <c r="C1586" s="14">
        <v>175500</v>
      </c>
      <c r="D1586" s="14">
        <v>177000</v>
      </c>
      <c r="E1586" s="14">
        <v>173500</v>
      </c>
      <c r="F1586" t="s">
        <v>1172</v>
      </c>
      <c r="G1586" s="15">
        <v>-8.5000000000000006E-3</v>
      </c>
    </row>
    <row r="1587" spans="1:7" x14ac:dyDescent="0.15">
      <c r="A1587" s="86">
        <v>44146</v>
      </c>
      <c r="B1587" s="18">
        <v>175500</v>
      </c>
      <c r="C1587" s="14">
        <v>174500</v>
      </c>
      <c r="D1587" s="14">
        <v>179000</v>
      </c>
      <c r="E1587" s="14">
        <v>173000</v>
      </c>
      <c r="F1587" t="s">
        <v>1206</v>
      </c>
      <c r="G1587" s="15">
        <v>1.15E-2</v>
      </c>
    </row>
    <row r="1588" spans="1:7" x14ac:dyDescent="0.15">
      <c r="A1588" s="86">
        <v>44145</v>
      </c>
      <c r="B1588" s="18">
        <v>173500</v>
      </c>
      <c r="C1588" s="14">
        <v>174500</v>
      </c>
      <c r="D1588" s="14">
        <v>174500</v>
      </c>
      <c r="E1588" s="14">
        <v>172000</v>
      </c>
      <c r="F1588" t="s">
        <v>1207</v>
      </c>
      <c r="G1588" s="15">
        <v>5.7999999999999996E-3</v>
      </c>
    </row>
    <row r="1589" spans="1:7" x14ac:dyDescent="0.15">
      <c r="A1589" s="86">
        <v>44144</v>
      </c>
      <c r="B1589" s="18">
        <v>172500</v>
      </c>
      <c r="C1589" s="14">
        <v>172500</v>
      </c>
      <c r="D1589" s="14">
        <v>174500</v>
      </c>
      <c r="E1589" s="14">
        <v>172000</v>
      </c>
      <c r="F1589" t="s">
        <v>790</v>
      </c>
      <c r="G1589" s="15">
        <v>1.17E-2</v>
      </c>
    </row>
    <row r="1590" spans="1:7" x14ac:dyDescent="0.15">
      <c r="A1590" s="86">
        <v>44143</v>
      </c>
      <c r="B1590" s="18">
        <v>170500</v>
      </c>
      <c r="C1590" s="14">
        <v>170500</v>
      </c>
      <c r="D1590" s="14">
        <v>170500</v>
      </c>
      <c r="E1590" s="14">
        <v>170500</v>
      </c>
      <c r="G1590" s="15">
        <v>0</v>
      </c>
    </row>
    <row r="1591" spans="1:7" x14ac:dyDescent="0.15">
      <c r="A1591" s="86">
        <v>44141</v>
      </c>
      <c r="B1591" s="18">
        <v>170500</v>
      </c>
      <c r="C1591" s="14">
        <v>176500</v>
      </c>
      <c r="D1591" s="14">
        <v>177000</v>
      </c>
      <c r="E1591" s="14">
        <v>169500</v>
      </c>
      <c r="F1591" t="s">
        <v>140</v>
      </c>
      <c r="G1591" s="15">
        <v>-2.5700000000000001E-2</v>
      </c>
    </row>
    <row r="1592" spans="1:7" x14ac:dyDescent="0.15">
      <c r="A1592" s="86">
        <v>44140</v>
      </c>
      <c r="B1592" s="18">
        <v>175000</v>
      </c>
      <c r="C1592" s="14">
        <v>173000</v>
      </c>
      <c r="D1592" s="14">
        <v>175000</v>
      </c>
      <c r="E1592" s="14">
        <v>173000</v>
      </c>
      <c r="F1592" t="s">
        <v>1208</v>
      </c>
      <c r="G1592" s="15">
        <v>2.0400000000000001E-2</v>
      </c>
    </row>
    <row r="1593" spans="1:7" x14ac:dyDescent="0.15">
      <c r="A1593" s="86">
        <v>44139</v>
      </c>
      <c r="B1593" s="18">
        <v>171500</v>
      </c>
      <c r="C1593" s="14">
        <v>172500</v>
      </c>
      <c r="D1593" s="14">
        <v>175000</v>
      </c>
      <c r="E1593" s="14">
        <v>170500</v>
      </c>
      <c r="F1593" t="s">
        <v>1046</v>
      </c>
      <c r="G1593" s="15">
        <v>5.8999999999999999E-3</v>
      </c>
    </row>
    <row r="1594" spans="1:7" x14ac:dyDescent="0.15">
      <c r="A1594" s="86">
        <v>44138</v>
      </c>
      <c r="B1594" s="18">
        <v>170500</v>
      </c>
      <c r="C1594" s="14">
        <v>171000</v>
      </c>
      <c r="D1594" s="14">
        <v>172000</v>
      </c>
      <c r="E1594" s="14">
        <v>169000</v>
      </c>
      <c r="F1594" t="s">
        <v>1209</v>
      </c>
      <c r="G1594" s="15">
        <v>0</v>
      </c>
    </row>
    <row r="1595" spans="1:7" x14ac:dyDescent="0.15">
      <c r="A1595" s="86">
        <v>44137</v>
      </c>
      <c r="B1595" s="18">
        <v>170500</v>
      </c>
      <c r="C1595" s="14">
        <v>166000</v>
      </c>
      <c r="D1595" s="14">
        <v>170500</v>
      </c>
      <c r="E1595" s="14">
        <v>166000</v>
      </c>
      <c r="F1595" t="s">
        <v>123</v>
      </c>
      <c r="G1595" s="15">
        <v>3.6499999999999998E-2</v>
      </c>
    </row>
    <row r="1596" spans="1:7" x14ac:dyDescent="0.15">
      <c r="A1596" s="86">
        <v>44136</v>
      </c>
      <c r="B1596" s="18">
        <v>164500</v>
      </c>
      <c r="C1596" s="14">
        <v>164500</v>
      </c>
      <c r="D1596" s="14">
        <v>164500</v>
      </c>
      <c r="E1596" s="14">
        <v>164500</v>
      </c>
      <c r="G1596" s="15">
        <v>0</v>
      </c>
    </row>
    <row r="1597" spans="1:7" x14ac:dyDescent="0.15">
      <c r="A1597" s="86">
        <v>44134</v>
      </c>
      <c r="B1597" s="18">
        <v>164500</v>
      </c>
      <c r="C1597" s="14">
        <v>169000</v>
      </c>
      <c r="D1597" s="14">
        <v>169500</v>
      </c>
      <c r="E1597" s="14">
        <v>164500</v>
      </c>
      <c r="F1597" t="s">
        <v>1210</v>
      </c>
      <c r="G1597" s="15">
        <v>-3.2399999999999998E-2</v>
      </c>
    </row>
    <row r="1598" spans="1:7" x14ac:dyDescent="0.15">
      <c r="A1598" s="86">
        <v>44133</v>
      </c>
      <c r="B1598" s="18">
        <v>170000</v>
      </c>
      <c r="C1598" s="14">
        <v>169000</v>
      </c>
      <c r="D1598" s="14">
        <v>171000</v>
      </c>
      <c r="E1598" s="14">
        <v>168000</v>
      </c>
      <c r="F1598" t="s">
        <v>1211</v>
      </c>
      <c r="G1598" s="15">
        <v>-2.0199999999999999E-2</v>
      </c>
    </row>
    <row r="1599" spans="1:7" x14ac:dyDescent="0.15">
      <c r="A1599" s="86">
        <v>44132</v>
      </c>
      <c r="B1599" s="18">
        <v>173500</v>
      </c>
      <c r="C1599" s="14">
        <v>172000</v>
      </c>
      <c r="D1599" s="14">
        <v>174000</v>
      </c>
      <c r="E1599" s="14">
        <v>169500</v>
      </c>
      <c r="F1599" t="s">
        <v>1065</v>
      </c>
      <c r="G1599" s="15">
        <v>5.7999999999999996E-3</v>
      </c>
    </row>
    <row r="1600" spans="1:7" x14ac:dyDescent="0.15">
      <c r="A1600" s="86">
        <v>44131</v>
      </c>
      <c r="B1600" s="18">
        <v>172500</v>
      </c>
      <c r="C1600" s="14">
        <v>173500</v>
      </c>
      <c r="D1600" s="14">
        <v>178000</v>
      </c>
      <c r="E1600" s="14">
        <v>171000</v>
      </c>
      <c r="F1600" t="s">
        <v>1071</v>
      </c>
      <c r="G1600" s="15">
        <v>5.7999999999999996E-3</v>
      </c>
    </row>
    <row r="1601" spans="1:7" x14ac:dyDescent="0.15">
      <c r="A1601" s="86">
        <v>44130</v>
      </c>
      <c r="B1601" s="18">
        <v>171500</v>
      </c>
      <c r="C1601" s="14">
        <v>167000</v>
      </c>
      <c r="D1601" s="14">
        <v>174000</v>
      </c>
      <c r="E1601" s="14">
        <v>164000</v>
      </c>
      <c r="F1601" t="s">
        <v>1212</v>
      </c>
      <c r="G1601" s="15">
        <v>2.69E-2</v>
      </c>
    </row>
    <row r="1602" spans="1:7" x14ac:dyDescent="0.15">
      <c r="A1602" s="86">
        <v>44129</v>
      </c>
      <c r="B1602" s="18">
        <v>167000</v>
      </c>
      <c r="C1602" s="14">
        <v>167000</v>
      </c>
      <c r="D1602" s="14">
        <v>167000</v>
      </c>
      <c r="E1602" s="14">
        <v>167000</v>
      </c>
      <c r="G1602" s="15">
        <v>0</v>
      </c>
    </row>
    <row r="1603" spans="1:7" x14ac:dyDescent="0.15">
      <c r="A1603" s="86">
        <v>44127</v>
      </c>
      <c r="B1603" s="18">
        <v>167000</v>
      </c>
      <c r="C1603" s="14">
        <v>163500</v>
      </c>
      <c r="D1603" s="14">
        <v>168000</v>
      </c>
      <c r="E1603" s="14">
        <v>163000</v>
      </c>
      <c r="F1603" t="s">
        <v>134</v>
      </c>
      <c r="G1603" s="15">
        <v>2.7699999999999999E-2</v>
      </c>
    </row>
    <row r="1604" spans="1:7" x14ac:dyDescent="0.15">
      <c r="A1604" s="86">
        <v>44126</v>
      </c>
      <c r="B1604" s="18">
        <v>162500</v>
      </c>
      <c r="C1604" s="14">
        <v>163000</v>
      </c>
      <c r="D1604" s="14">
        <v>163500</v>
      </c>
      <c r="E1604" s="14">
        <v>161000</v>
      </c>
      <c r="F1604" t="s">
        <v>1213</v>
      </c>
      <c r="G1604" s="15">
        <v>-1.8100000000000002E-2</v>
      </c>
    </row>
    <row r="1605" spans="1:7" x14ac:dyDescent="0.15">
      <c r="A1605" s="86">
        <v>44125</v>
      </c>
      <c r="B1605" s="18">
        <v>165500</v>
      </c>
      <c r="C1605" s="14">
        <v>166500</v>
      </c>
      <c r="D1605" s="14">
        <v>167500</v>
      </c>
      <c r="E1605" s="14">
        <v>163500</v>
      </c>
      <c r="F1605" t="s">
        <v>1058</v>
      </c>
      <c r="G1605" s="15">
        <v>-1.1900000000000001E-2</v>
      </c>
    </row>
    <row r="1606" spans="1:7" x14ac:dyDescent="0.15">
      <c r="A1606" s="86">
        <v>44124</v>
      </c>
      <c r="B1606" s="18">
        <v>167500</v>
      </c>
      <c r="C1606" s="14">
        <v>157500</v>
      </c>
      <c r="D1606" s="14">
        <v>168500</v>
      </c>
      <c r="E1606" s="14">
        <v>157000</v>
      </c>
      <c r="F1606" t="s">
        <v>1139</v>
      </c>
      <c r="G1606" s="15">
        <v>-3.0000000000000001E-3</v>
      </c>
    </row>
    <row r="1607" spans="1:7" x14ac:dyDescent="0.15">
      <c r="A1607" s="86">
        <v>44123</v>
      </c>
      <c r="B1607" s="18">
        <v>168000</v>
      </c>
      <c r="C1607" s="14">
        <v>170000</v>
      </c>
      <c r="D1607" s="14">
        <v>172000</v>
      </c>
      <c r="E1607" s="14">
        <v>167500</v>
      </c>
      <c r="F1607" t="s">
        <v>1045</v>
      </c>
      <c r="G1607" s="15">
        <v>-2.3300000000000001E-2</v>
      </c>
    </row>
    <row r="1608" spans="1:7" x14ac:dyDescent="0.15">
      <c r="A1608" s="86">
        <v>44122</v>
      </c>
      <c r="B1608" s="18">
        <v>172000</v>
      </c>
      <c r="C1608" s="14">
        <v>172000</v>
      </c>
      <c r="D1608" s="14">
        <v>172000</v>
      </c>
      <c r="E1608" s="14">
        <v>172000</v>
      </c>
      <c r="G1608" s="15">
        <v>0</v>
      </c>
    </row>
    <row r="1609" spans="1:7" x14ac:dyDescent="0.15">
      <c r="A1609" s="86">
        <v>44120</v>
      </c>
      <c r="B1609" s="18">
        <v>172000</v>
      </c>
      <c r="C1609" s="14">
        <v>176500</v>
      </c>
      <c r="D1609" s="14">
        <v>177500</v>
      </c>
      <c r="E1609" s="14">
        <v>169000</v>
      </c>
      <c r="F1609" t="s">
        <v>1214</v>
      </c>
      <c r="G1609" s="15">
        <v>-2.2700000000000001E-2</v>
      </c>
    </row>
    <row r="1610" spans="1:7" x14ac:dyDescent="0.15">
      <c r="A1610" s="86">
        <v>44119</v>
      </c>
      <c r="B1610" s="18">
        <v>176000</v>
      </c>
      <c r="C1610" s="14">
        <v>177000</v>
      </c>
      <c r="D1610" s="14">
        <v>178500</v>
      </c>
      <c r="E1610" s="14">
        <v>175000</v>
      </c>
      <c r="F1610" t="s">
        <v>1215</v>
      </c>
      <c r="G1610" s="15">
        <v>-1.12E-2</v>
      </c>
    </row>
    <row r="1611" spans="1:7" x14ac:dyDescent="0.15">
      <c r="A1611" s="86">
        <v>44118</v>
      </c>
      <c r="B1611" s="18">
        <v>178000</v>
      </c>
      <c r="C1611" s="14">
        <v>181000</v>
      </c>
      <c r="D1611" s="14">
        <v>183500</v>
      </c>
      <c r="E1611" s="14">
        <v>177000</v>
      </c>
      <c r="F1611" t="s">
        <v>1216</v>
      </c>
      <c r="G1611" s="15">
        <v>-5.5999999999999999E-3</v>
      </c>
    </row>
    <row r="1612" spans="1:7" x14ac:dyDescent="0.15">
      <c r="A1612" s="86">
        <v>44117</v>
      </c>
      <c r="B1612" s="18">
        <v>179000</v>
      </c>
      <c r="C1612" s="14">
        <v>181000</v>
      </c>
      <c r="D1612" s="14">
        <v>181000</v>
      </c>
      <c r="E1612" s="14">
        <v>176500</v>
      </c>
      <c r="F1612" t="s">
        <v>1068</v>
      </c>
      <c r="G1612" s="15">
        <v>-5.5999999999999999E-3</v>
      </c>
    </row>
    <row r="1613" spans="1:7" x14ac:dyDescent="0.15">
      <c r="A1613" s="86">
        <v>44116</v>
      </c>
      <c r="B1613" s="18">
        <v>180000</v>
      </c>
      <c r="C1613" s="14">
        <v>178000</v>
      </c>
      <c r="D1613" s="14">
        <v>181500</v>
      </c>
      <c r="E1613" s="14">
        <v>176500</v>
      </c>
      <c r="F1613" t="s">
        <v>1198</v>
      </c>
      <c r="G1613" s="15">
        <v>-2.8E-3</v>
      </c>
    </row>
    <row r="1614" spans="1:7" x14ac:dyDescent="0.15">
      <c r="A1614" s="86">
        <v>44115</v>
      </c>
      <c r="B1614" s="18">
        <v>180500</v>
      </c>
      <c r="C1614" s="14">
        <v>180500</v>
      </c>
      <c r="D1614" s="14">
        <v>180500</v>
      </c>
      <c r="E1614" s="14">
        <v>180500</v>
      </c>
      <c r="G1614" s="15">
        <v>0</v>
      </c>
    </row>
    <row r="1615" spans="1:7" x14ac:dyDescent="0.15">
      <c r="A1615" s="86">
        <v>44112</v>
      </c>
      <c r="B1615" s="18">
        <v>180500</v>
      </c>
      <c r="C1615" s="14">
        <v>185500</v>
      </c>
      <c r="D1615" s="14">
        <v>186000</v>
      </c>
      <c r="E1615" s="14">
        <v>180000</v>
      </c>
      <c r="F1615" t="s">
        <v>196</v>
      </c>
      <c r="G1615" s="15">
        <v>-1.37E-2</v>
      </c>
    </row>
    <row r="1616" spans="1:7" x14ac:dyDescent="0.15">
      <c r="A1616" s="86">
        <v>44111</v>
      </c>
      <c r="B1616" s="18">
        <v>183000</v>
      </c>
      <c r="C1616" s="14">
        <v>180500</v>
      </c>
      <c r="D1616" s="14">
        <v>183500</v>
      </c>
      <c r="E1616" s="14">
        <v>178500</v>
      </c>
      <c r="F1616" t="s">
        <v>1065</v>
      </c>
      <c r="G1616" s="15">
        <v>2.7000000000000001E-3</v>
      </c>
    </row>
    <row r="1617" spans="1:7" x14ac:dyDescent="0.15">
      <c r="A1617" s="86">
        <v>44110</v>
      </c>
      <c r="B1617" s="18">
        <v>182500</v>
      </c>
      <c r="C1617" s="14">
        <v>188000</v>
      </c>
      <c r="D1617" s="14">
        <v>188500</v>
      </c>
      <c r="E1617" s="14">
        <v>181500</v>
      </c>
      <c r="F1617" t="s">
        <v>1106</v>
      </c>
      <c r="G1617" s="15">
        <v>-2.41E-2</v>
      </c>
    </row>
    <row r="1618" spans="1:7" x14ac:dyDescent="0.15">
      <c r="A1618" s="86">
        <v>44109</v>
      </c>
      <c r="B1618" s="18">
        <v>187000</v>
      </c>
      <c r="C1618" s="14">
        <v>183000</v>
      </c>
      <c r="D1618" s="14">
        <v>187000</v>
      </c>
      <c r="E1618" s="14">
        <v>181500</v>
      </c>
      <c r="F1618" t="s">
        <v>1061</v>
      </c>
      <c r="G1618" s="15">
        <v>4.7600000000000003E-2</v>
      </c>
    </row>
    <row r="1619" spans="1:7" x14ac:dyDescent="0.15">
      <c r="A1619" s="86">
        <v>44108</v>
      </c>
      <c r="B1619" s="18">
        <v>178500</v>
      </c>
      <c r="C1619" s="14">
        <v>178500</v>
      </c>
      <c r="D1619" s="14">
        <v>178500</v>
      </c>
      <c r="E1619" s="14">
        <v>178500</v>
      </c>
      <c r="G1619" s="15">
        <v>0</v>
      </c>
    </row>
    <row r="1620" spans="1:7" x14ac:dyDescent="0.15">
      <c r="A1620" s="86">
        <v>44103</v>
      </c>
      <c r="B1620" s="18">
        <v>178500</v>
      </c>
      <c r="C1620" s="14">
        <v>178500</v>
      </c>
      <c r="D1620" s="14">
        <v>180000</v>
      </c>
      <c r="E1620" s="14">
        <v>177500</v>
      </c>
      <c r="F1620" t="s">
        <v>924</v>
      </c>
      <c r="G1620" s="15">
        <v>1.7100000000000001E-2</v>
      </c>
    </row>
    <row r="1621" spans="1:7" x14ac:dyDescent="0.15">
      <c r="A1621" s="86">
        <v>44102</v>
      </c>
      <c r="B1621" s="18">
        <v>175500</v>
      </c>
      <c r="C1621" s="14">
        <v>173000</v>
      </c>
      <c r="D1621" s="14">
        <v>176000</v>
      </c>
      <c r="E1621" s="14">
        <v>172000</v>
      </c>
      <c r="F1621" t="s">
        <v>1057</v>
      </c>
      <c r="G1621" s="15">
        <v>3.2399999999999998E-2</v>
      </c>
    </row>
    <row r="1622" spans="1:7" x14ac:dyDescent="0.15">
      <c r="A1622" s="86">
        <v>44101</v>
      </c>
      <c r="B1622" s="18">
        <v>170000</v>
      </c>
      <c r="C1622" s="14">
        <v>170000</v>
      </c>
      <c r="D1622" s="14">
        <v>170000</v>
      </c>
      <c r="E1622" s="14">
        <v>170000</v>
      </c>
      <c r="G1622" s="15">
        <v>0</v>
      </c>
    </row>
    <row r="1623" spans="1:7" x14ac:dyDescent="0.15">
      <c r="A1623" s="86">
        <v>44099</v>
      </c>
      <c r="B1623" s="18">
        <v>170000</v>
      </c>
      <c r="C1623" s="14">
        <v>172500</v>
      </c>
      <c r="D1623" s="14">
        <v>174000</v>
      </c>
      <c r="E1623" s="14">
        <v>166000</v>
      </c>
      <c r="F1623" t="s">
        <v>781</v>
      </c>
      <c r="G1623" s="15">
        <v>-8.6999999999999994E-3</v>
      </c>
    </row>
    <row r="1624" spans="1:7" x14ac:dyDescent="0.15">
      <c r="A1624" s="86">
        <v>44098</v>
      </c>
      <c r="B1624" s="18">
        <v>171500</v>
      </c>
      <c r="C1624" s="14">
        <v>174000</v>
      </c>
      <c r="D1624" s="14">
        <v>175500</v>
      </c>
      <c r="E1624" s="14">
        <v>171000</v>
      </c>
      <c r="F1624" t="s">
        <v>1170</v>
      </c>
      <c r="G1624" s="15">
        <v>-4.4600000000000001E-2</v>
      </c>
    </row>
    <row r="1625" spans="1:7" x14ac:dyDescent="0.15">
      <c r="A1625" s="86">
        <v>44097</v>
      </c>
      <c r="B1625" s="18">
        <v>179500</v>
      </c>
      <c r="C1625" s="14">
        <v>183000</v>
      </c>
      <c r="D1625" s="14">
        <v>183000</v>
      </c>
      <c r="E1625" s="14">
        <v>170500</v>
      </c>
      <c r="F1625" t="s">
        <v>1158</v>
      </c>
      <c r="G1625" s="15">
        <v>0</v>
      </c>
    </row>
    <row r="1626" spans="1:7" x14ac:dyDescent="0.15">
      <c r="A1626" s="86">
        <v>44096</v>
      </c>
      <c r="B1626" s="18">
        <v>179500</v>
      </c>
      <c r="C1626" s="14">
        <v>185000</v>
      </c>
      <c r="D1626" s="14">
        <v>186000</v>
      </c>
      <c r="E1626" s="14">
        <v>178000</v>
      </c>
      <c r="F1626" t="s">
        <v>1065</v>
      </c>
      <c r="G1626" s="15">
        <v>-2.9700000000000001E-2</v>
      </c>
    </row>
    <row r="1627" spans="1:7" x14ac:dyDescent="0.15">
      <c r="A1627" s="86">
        <v>44095</v>
      </c>
      <c r="B1627" s="18">
        <v>185000</v>
      </c>
      <c r="C1627" s="14">
        <v>181000</v>
      </c>
      <c r="D1627" s="14">
        <v>188500</v>
      </c>
      <c r="E1627" s="14">
        <v>181000</v>
      </c>
      <c r="F1627" t="s">
        <v>1217</v>
      </c>
      <c r="G1627" s="15">
        <v>2.2100000000000002E-2</v>
      </c>
    </row>
    <row r="1628" spans="1:7" x14ac:dyDescent="0.15">
      <c r="A1628" s="86">
        <v>44094</v>
      </c>
      <c r="B1628" s="18">
        <v>181000</v>
      </c>
      <c r="C1628" s="14">
        <v>181000</v>
      </c>
      <c r="D1628" s="14">
        <v>181000</v>
      </c>
      <c r="E1628" s="14">
        <v>181000</v>
      </c>
      <c r="G1628" s="15">
        <v>0</v>
      </c>
    </row>
    <row r="1629" spans="1:7" x14ac:dyDescent="0.15">
      <c r="A1629" s="86">
        <v>44092</v>
      </c>
      <c r="B1629" s="18">
        <v>181000</v>
      </c>
      <c r="C1629" s="14">
        <v>184000</v>
      </c>
      <c r="D1629" s="14">
        <v>186000</v>
      </c>
      <c r="E1629" s="14">
        <v>179000</v>
      </c>
      <c r="F1629" t="s">
        <v>1218</v>
      </c>
      <c r="G1629" s="15">
        <v>-1.6299999999999999E-2</v>
      </c>
    </row>
    <row r="1630" spans="1:7" x14ac:dyDescent="0.15">
      <c r="A1630" s="86">
        <v>44091</v>
      </c>
      <c r="B1630" s="18">
        <v>184000</v>
      </c>
      <c r="C1630" s="14">
        <v>186000</v>
      </c>
      <c r="D1630" s="14">
        <v>191000</v>
      </c>
      <c r="E1630" s="14">
        <v>183000</v>
      </c>
      <c r="F1630" t="s">
        <v>1219</v>
      </c>
      <c r="G1630" s="15">
        <v>2.7000000000000001E-3</v>
      </c>
    </row>
    <row r="1631" spans="1:7" x14ac:dyDescent="0.15">
      <c r="A1631" s="86">
        <v>44090</v>
      </c>
      <c r="B1631" s="18">
        <v>183500</v>
      </c>
      <c r="C1631" s="14">
        <v>180000</v>
      </c>
      <c r="D1631" s="14">
        <v>186000</v>
      </c>
      <c r="E1631" s="14">
        <v>177500</v>
      </c>
      <c r="F1631" t="s">
        <v>1084</v>
      </c>
      <c r="G1631" s="15">
        <v>2.5100000000000001E-2</v>
      </c>
    </row>
    <row r="1632" spans="1:7" x14ac:dyDescent="0.15">
      <c r="A1632" s="86">
        <v>44089</v>
      </c>
      <c r="B1632" s="18">
        <v>179000</v>
      </c>
      <c r="C1632" s="14">
        <v>183500</v>
      </c>
      <c r="D1632" s="14">
        <v>185000</v>
      </c>
      <c r="E1632" s="14">
        <v>178500</v>
      </c>
      <c r="F1632" t="s">
        <v>1086</v>
      </c>
      <c r="G1632" s="15">
        <v>-5.5999999999999999E-3</v>
      </c>
    </row>
    <row r="1633" spans="1:7" x14ac:dyDescent="0.15">
      <c r="A1633" s="86">
        <v>44088</v>
      </c>
      <c r="B1633" s="18">
        <v>180000</v>
      </c>
      <c r="C1633" s="14">
        <v>174500</v>
      </c>
      <c r="D1633" s="14">
        <v>180000</v>
      </c>
      <c r="E1633" s="14">
        <v>174000</v>
      </c>
      <c r="F1633" t="s">
        <v>1074</v>
      </c>
      <c r="G1633" s="15">
        <v>4.9599999999999998E-2</v>
      </c>
    </row>
    <row r="1634" spans="1:7" x14ac:dyDescent="0.15">
      <c r="A1634" s="86">
        <v>44087</v>
      </c>
      <c r="B1634" s="18">
        <v>171500</v>
      </c>
      <c r="C1634" s="14">
        <v>171500</v>
      </c>
      <c r="D1634" s="14">
        <v>171500</v>
      </c>
      <c r="E1634" s="14">
        <v>171500</v>
      </c>
      <c r="G1634" s="15">
        <v>0</v>
      </c>
    </row>
    <row r="1635" spans="1:7" x14ac:dyDescent="0.15">
      <c r="A1635" s="86">
        <v>44085</v>
      </c>
      <c r="B1635" s="18">
        <v>171500</v>
      </c>
      <c r="C1635" s="14">
        <v>167500</v>
      </c>
      <c r="D1635" s="14">
        <v>171500</v>
      </c>
      <c r="E1635" s="14">
        <v>167500</v>
      </c>
      <c r="F1635" t="s">
        <v>160</v>
      </c>
      <c r="G1635" s="15">
        <v>1.4800000000000001E-2</v>
      </c>
    </row>
    <row r="1636" spans="1:7" x14ac:dyDescent="0.15">
      <c r="A1636" s="86">
        <v>44084</v>
      </c>
      <c r="B1636" s="18">
        <v>169000</v>
      </c>
      <c r="C1636" s="14">
        <v>170500</v>
      </c>
      <c r="D1636" s="14">
        <v>171500</v>
      </c>
      <c r="E1636" s="14">
        <v>168000</v>
      </c>
      <c r="F1636" t="s">
        <v>1220</v>
      </c>
      <c r="G1636" s="15">
        <v>8.9999999999999993E-3</v>
      </c>
    </row>
    <row r="1637" spans="1:7" x14ac:dyDescent="0.15">
      <c r="A1637" s="86">
        <v>44083</v>
      </c>
      <c r="B1637" s="18">
        <v>167500</v>
      </c>
      <c r="C1637" s="14">
        <v>167000</v>
      </c>
      <c r="D1637" s="14">
        <v>172000</v>
      </c>
      <c r="E1637" s="14">
        <v>166000</v>
      </c>
      <c r="F1637" t="s">
        <v>1072</v>
      </c>
      <c r="G1637" s="15">
        <v>-3.0000000000000001E-3</v>
      </c>
    </row>
    <row r="1638" spans="1:7" x14ac:dyDescent="0.15">
      <c r="A1638" s="86">
        <v>44082</v>
      </c>
      <c r="B1638" s="18">
        <v>168000</v>
      </c>
      <c r="C1638" s="14">
        <v>171500</v>
      </c>
      <c r="D1638" s="14">
        <v>172500</v>
      </c>
      <c r="E1638" s="14">
        <v>168000</v>
      </c>
      <c r="F1638" t="s">
        <v>1221</v>
      </c>
      <c r="G1638" s="15">
        <v>-1.18E-2</v>
      </c>
    </row>
    <row r="1639" spans="1:7" x14ac:dyDescent="0.15">
      <c r="A1639" s="86">
        <v>44081</v>
      </c>
      <c r="B1639" s="18">
        <v>170000</v>
      </c>
      <c r="C1639" s="14">
        <v>173000</v>
      </c>
      <c r="D1639" s="14">
        <v>173000</v>
      </c>
      <c r="E1639" s="14">
        <v>169000</v>
      </c>
      <c r="F1639" t="s">
        <v>1222</v>
      </c>
      <c r="G1639" s="15">
        <v>-1.4500000000000001E-2</v>
      </c>
    </row>
    <row r="1640" spans="1:7" x14ac:dyDescent="0.15">
      <c r="A1640" s="86">
        <v>44080</v>
      </c>
      <c r="B1640" s="18">
        <v>172500</v>
      </c>
      <c r="C1640" s="14">
        <v>172500</v>
      </c>
      <c r="D1640" s="14">
        <v>172500</v>
      </c>
      <c r="E1640" s="14">
        <v>172500</v>
      </c>
      <c r="G1640" s="15">
        <v>0</v>
      </c>
    </row>
    <row r="1641" spans="1:7" x14ac:dyDescent="0.15">
      <c r="A1641" s="86">
        <v>44078</v>
      </c>
      <c r="B1641" s="18">
        <v>172500</v>
      </c>
      <c r="C1641" s="14">
        <v>167500</v>
      </c>
      <c r="D1641" s="14">
        <v>174000</v>
      </c>
      <c r="E1641" s="14">
        <v>167500</v>
      </c>
      <c r="F1641" t="s">
        <v>1223</v>
      </c>
      <c r="G1641" s="15">
        <v>-2.2700000000000001E-2</v>
      </c>
    </row>
    <row r="1642" spans="1:7" x14ac:dyDescent="0.15">
      <c r="A1642" s="86">
        <v>44077</v>
      </c>
      <c r="B1642" s="18">
        <v>176500</v>
      </c>
      <c r="C1642" s="14">
        <v>177500</v>
      </c>
      <c r="D1642" s="14">
        <v>177500</v>
      </c>
      <c r="E1642" s="14">
        <v>174000</v>
      </c>
      <c r="F1642" t="s">
        <v>1178</v>
      </c>
      <c r="G1642" s="15">
        <v>2.8E-3</v>
      </c>
    </row>
    <row r="1643" spans="1:7" x14ac:dyDescent="0.15">
      <c r="A1643" s="86">
        <v>44076</v>
      </c>
      <c r="B1643" s="18">
        <v>176000</v>
      </c>
      <c r="C1643" s="14">
        <v>177500</v>
      </c>
      <c r="D1643" s="14">
        <v>178500</v>
      </c>
      <c r="E1643" s="14">
        <v>173500</v>
      </c>
      <c r="F1643" t="s">
        <v>1224</v>
      </c>
      <c r="G1643" s="15">
        <v>-2.2200000000000001E-2</v>
      </c>
    </row>
    <row r="1644" spans="1:7" x14ac:dyDescent="0.15">
      <c r="A1644" s="86">
        <v>44075</v>
      </c>
      <c r="B1644" s="18">
        <v>180000</v>
      </c>
      <c r="C1644" s="14">
        <v>178500</v>
      </c>
      <c r="D1644" s="14">
        <v>180500</v>
      </c>
      <c r="E1644" s="14">
        <v>176000</v>
      </c>
      <c r="F1644" t="s">
        <v>1169</v>
      </c>
      <c r="G1644" s="15">
        <v>1.9800000000000002E-2</v>
      </c>
    </row>
    <row r="1645" spans="1:7" x14ac:dyDescent="0.15">
      <c r="A1645" s="86">
        <v>44074</v>
      </c>
      <c r="B1645" s="18">
        <v>176500</v>
      </c>
      <c r="C1645" s="14">
        <v>177000</v>
      </c>
      <c r="D1645" s="14">
        <v>182000</v>
      </c>
      <c r="E1645" s="14">
        <v>175000</v>
      </c>
      <c r="F1645" t="s">
        <v>1072</v>
      </c>
      <c r="G1645" s="15">
        <v>2.6200000000000001E-2</v>
      </c>
    </row>
    <row r="1646" spans="1:7" x14ac:dyDescent="0.15">
      <c r="A1646" s="86">
        <v>44073</v>
      </c>
      <c r="B1646" s="18">
        <v>172000</v>
      </c>
      <c r="C1646" s="14">
        <v>172000</v>
      </c>
      <c r="D1646" s="14">
        <v>172000</v>
      </c>
      <c r="E1646" s="14">
        <v>172000</v>
      </c>
      <c r="G1646" s="15">
        <v>0</v>
      </c>
    </row>
    <row r="1647" spans="1:7" x14ac:dyDescent="0.15">
      <c r="A1647" s="86">
        <v>44071</v>
      </c>
      <c r="B1647" s="18">
        <v>172000</v>
      </c>
      <c r="C1647" s="14">
        <v>165500</v>
      </c>
      <c r="D1647" s="14">
        <v>176500</v>
      </c>
      <c r="E1647" s="14">
        <v>164500</v>
      </c>
      <c r="F1647" t="s">
        <v>1225</v>
      </c>
      <c r="G1647" s="15">
        <v>5.1999999999999998E-2</v>
      </c>
    </row>
    <row r="1648" spans="1:7" x14ac:dyDescent="0.15">
      <c r="A1648" s="86">
        <v>44070</v>
      </c>
      <c r="B1648" s="18">
        <v>163500</v>
      </c>
      <c r="C1648" s="14">
        <v>169000</v>
      </c>
      <c r="D1648" s="14">
        <v>169000</v>
      </c>
      <c r="E1648" s="14">
        <v>163500</v>
      </c>
      <c r="F1648" t="s">
        <v>1226</v>
      </c>
      <c r="G1648" s="15">
        <v>-2.3900000000000001E-2</v>
      </c>
    </row>
    <row r="1649" spans="1:7" x14ac:dyDescent="0.15">
      <c r="A1649" s="86">
        <v>44069</v>
      </c>
      <c r="B1649" s="18">
        <v>167500</v>
      </c>
      <c r="C1649" s="14">
        <v>166500</v>
      </c>
      <c r="D1649" s="14">
        <v>169500</v>
      </c>
      <c r="E1649" s="14">
        <v>163500</v>
      </c>
      <c r="F1649" t="s">
        <v>1174</v>
      </c>
      <c r="G1649" s="15">
        <v>8.9999999999999993E-3</v>
      </c>
    </row>
    <row r="1650" spans="1:7" x14ac:dyDescent="0.15">
      <c r="A1650" s="86">
        <v>44068</v>
      </c>
      <c r="B1650" s="18">
        <v>166000</v>
      </c>
      <c r="C1650" s="14">
        <v>167500</v>
      </c>
      <c r="D1650" s="14">
        <v>170500</v>
      </c>
      <c r="E1650" s="14">
        <v>165000</v>
      </c>
      <c r="F1650" t="s">
        <v>1169</v>
      </c>
      <c r="G1650" s="15">
        <v>2.7900000000000001E-2</v>
      </c>
    </row>
    <row r="1651" spans="1:7" x14ac:dyDescent="0.15">
      <c r="A1651" s="86">
        <v>44067</v>
      </c>
      <c r="B1651" s="18">
        <v>161500</v>
      </c>
      <c r="C1651" s="14">
        <v>157500</v>
      </c>
      <c r="D1651" s="14">
        <v>163000</v>
      </c>
      <c r="E1651" s="14">
        <v>152500</v>
      </c>
      <c r="F1651" t="s">
        <v>1087</v>
      </c>
      <c r="G1651" s="15">
        <v>3.5299999999999998E-2</v>
      </c>
    </row>
    <row r="1652" spans="1:7" x14ac:dyDescent="0.15">
      <c r="A1652" s="86">
        <v>44066</v>
      </c>
      <c r="B1652" s="18">
        <v>156000</v>
      </c>
      <c r="C1652" s="14">
        <v>156000</v>
      </c>
      <c r="D1652" s="14">
        <v>156000</v>
      </c>
      <c r="E1652" s="14">
        <v>156000</v>
      </c>
      <c r="G1652" s="15">
        <v>0</v>
      </c>
    </row>
    <row r="1653" spans="1:7" x14ac:dyDescent="0.15">
      <c r="A1653" s="86">
        <v>44064</v>
      </c>
      <c r="B1653" s="18">
        <v>156000</v>
      </c>
      <c r="C1653" s="14">
        <v>158000</v>
      </c>
      <c r="D1653" s="14">
        <v>161500</v>
      </c>
      <c r="E1653" s="14">
        <v>154000</v>
      </c>
      <c r="F1653" t="s">
        <v>1227</v>
      </c>
      <c r="G1653" s="15">
        <v>6.4999999999999997E-3</v>
      </c>
    </row>
    <row r="1654" spans="1:7" x14ac:dyDescent="0.15">
      <c r="A1654" s="86">
        <v>44063</v>
      </c>
      <c r="B1654" s="18">
        <v>155000</v>
      </c>
      <c r="C1654" s="14">
        <v>163000</v>
      </c>
      <c r="D1654" s="14">
        <v>165500</v>
      </c>
      <c r="E1654" s="14">
        <v>154000</v>
      </c>
      <c r="F1654" t="s">
        <v>1228</v>
      </c>
      <c r="G1654" s="15">
        <v>-5.7799999999999997E-2</v>
      </c>
    </row>
    <row r="1655" spans="1:7" x14ac:dyDescent="0.15">
      <c r="A1655" s="86">
        <v>44062</v>
      </c>
      <c r="B1655" s="18">
        <v>164500</v>
      </c>
      <c r="C1655" s="14">
        <v>158000</v>
      </c>
      <c r="D1655" s="14">
        <v>165500</v>
      </c>
      <c r="E1655" s="14">
        <v>158000</v>
      </c>
      <c r="F1655" t="s">
        <v>1229</v>
      </c>
      <c r="G1655" s="15">
        <v>4.1099999999999998E-2</v>
      </c>
    </row>
    <row r="1656" spans="1:7" x14ac:dyDescent="0.15">
      <c r="A1656" s="86">
        <v>44061</v>
      </c>
      <c r="B1656" s="18">
        <v>158000</v>
      </c>
      <c r="C1656" s="14">
        <v>163500</v>
      </c>
      <c r="D1656" s="14">
        <v>167500</v>
      </c>
      <c r="E1656" s="14">
        <v>155500</v>
      </c>
      <c r="F1656" t="s">
        <v>1230</v>
      </c>
      <c r="G1656" s="15">
        <v>-5.3900000000000003E-2</v>
      </c>
    </row>
    <row r="1657" spans="1:7" x14ac:dyDescent="0.15">
      <c r="A1657" s="86">
        <v>44060</v>
      </c>
      <c r="B1657" s="18">
        <v>167000</v>
      </c>
      <c r="C1657" s="14">
        <v>167000</v>
      </c>
      <c r="D1657" s="14">
        <v>167000</v>
      </c>
      <c r="E1657" s="14">
        <v>167000</v>
      </c>
      <c r="G1657" s="15">
        <v>0</v>
      </c>
    </row>
    <row r="1658" spans="1:7" x14ac:dyDescent="0.15">
      <c r="A1658" s="86">
        <v>44057</v>
      </c>
      <c r="B1658" s="18">
        <v>167000</v>
      </c>
      <c r="C1658" s="14">
        <v>171000</v>
      </c>
      <c r="D1658" s="14">
        <v>172000</v>
      </c>
      <c r="E1658" s="14">
        <v>161000</v>
      </c>
      <c r="F1658" t="s">
        <v>1231</v>
      </c>
      <c r="G1658" s="15">
        <v>-1.7600000000000001E-2</v>
      </c>
    </row>
    <row r="1659" spans="1:7" x14ac:dyDescent="0.15">
      <c r="A1659" s="86">
        <v>44056</v>
      </c>
      <c r="B1659" s="18">
        <v>170000</v>
      </c>
      <c r="C1659" s="14">
        <v>175000</v>
      </c>
      <c r="D1659" s="14">
        <v>177500</v>
      </c>
      <c r="E1659" s="14">
        <v>167000</v>
      </c>
      <c r="F1659" t="s">
        <v>1207</v>
      </c>
      <c r="G1659" s="15">
        <v>-1.1599999999999999E-2</v>
      </c>
    </row>
    <row r="1660" spans="1:7" x14ac:dyDescent="0.15">
      <c r="A1660" s="86">
        <v>44055</v>
      </c>
      <c r="B1660" s="18">
        <v>172000</v>
      </c>
      <c r="C1660" s="14">
        <v>174000</v>
      </c>
      <c r="D1660" s="14">
        <v>178000</v>
      </c>
      <c r="E1660" s="14">
        <v>170500</v>
      </c>
      <c r="F1660" t="s">
        <v>1232</v>
      </c>
      <c r="G1660" s="15">
        <v>-3.9100000000000003E-2</v>
      </c>
    </row>
    <row r="1661" spans="1:7" x14ac:dyDescent="0.15">
      <c r="A1661" s="86">
        <v>44054</v>
      </c>
      <c r="B1661" s="18">
        <v>179000</v>
      </c>
      <c r="C1661" s="14">
        <v>172000</v>
      </c>
      <c r="D1661" s="14">
        <v>180500</v>
      </c>
      <c r="E1661" s="14">
        <v>164500</v>
      </c>
      <c r="F1661" t="s">
        <v>1233</v>
      </c>
      <c r="G1661" s="15">
        <v>5.2900000000000003E-2</v>
      </c>
    </row>
    <row r="1662" spans="1:7" x14ac:dyDescent="0.15">
      <c r="A1662" s="86">
        <v>44053</v>
      </c>
      <c r="B1662" s="18">
        <v>170000</v>
      </c>
      <c r="C1662" s="14">
        <v>151500</v>
      </c>
      <c r="D1662" s="14">
        <v>172000</v>
      </c>
      <c r="E1662" s="14">
        <v>151500</v>
      </c>
      <c r="F1662" t="s">
        <v>1119</v>
      </c>
      <c r="G1662" s="15">
        <v>0.1565</v>
      </c>
    </row>
    <row r="1663" spans="1:7" x14ac:dyDescent="0.15">
      <c r="A1663" s="86">
        <v>44052</v>
      </c>
      <c r="B1663" s="18">
        <v>147000</v>
      </c>
      <c r="C1663" s="14">
        <v>147000</v>
      </c>
      <c r="D1663" s="14">
        <v>147000</v>
      </c>
      <c r="E1663" s="14">
        <v>147000</v>
      </c>
      <c r="G1663" s="15">
        <v>0</v>
      </c>
    </row>
    <row r="1664" spans="1:7" x14ac:dyDescent="0.15">
      <c r="A1664" s="86">
        <v>44050</v>
      </c>
      <c r="B1664" s="18">
        <v>147000</v>
      </c>
      <c r="C1664" s="14">
        <v>145500</v>
      </c>
      <c r="D1664" s="14">
        <v>149500</v>
      </c>
      <c r="E1664" s="14">
        <v>144500</v>
      </c>
      <c r="F1664" t="s">
        <v>1234</v>
      </c>
      <c r="G1664" s="15">
        <v>1.7299999999999999E-2</v>
      </c>
    </row>
    <row r="1665" spans="1:7" x14ac:dyDescent="0.15">
      <c r="A1665" s="86">
        <v>44049</v>
      </c>
      <c r="B1665" s="18">
        <v>144500</v>
      </c>
      <c r="C1665" s="14">
        <v>136500</v>
      </c>
      <c r="D1665" s="14">
        <v>145500</v>
      </c>
      <c r="E1665" s="14">
        <v>136500</v>
      </c>
      <c r="F1665" t="s">
        <v>1235</v>
      </c>
      <c r="G1665" s="15">
        <v>7.8399999999999997E-2</v>
      </c>
    </row>
    <row r="1666" spans="1:7" x14ac:dyDescent="0.15">
      <c r="A1666" s="86">
        <v>44048</v>
      </c>
      <c r="B1666" s="18">
        <v>134000</v>
      </c>
      <c r="C1666" s="14">
        <v>133000</v>
      </c>
      <c r="D1666" s="14">
        <v>135500</v>
      </c>
      <c r="E1666" s="14">
        <v>132000</v>
      </c>
      <c r="F1666" t="s">
        <v>1087</v>
      </c>
      <c r="G1666" s="15">
        <v>1.1299999999999999E-2</v>
      </c>
    </row>
    <row r="1667" spans="1:7" x14ac:dyDescent="0.15">
      <c r="A1667" s="86">
        <v>44047</v>
      </c>
      <c r="B1667" s="18">
        <v>132500</v>
      </c>
      <c r="C1667" s="14">
        <v>129500</v>
      </c>
      <c r="D1667" s="14">
        <v>134000</v>
      </c>
      <c r="E1667" s="14">
        <v>129000</v>
      </c>
      <c r="F1667" t="s">
        <v>1083</v>
      </c>
      <c r="G1667" s="15">
        <v>4.3299999999999998E-2</v>
      </c>
    </row>
    <row r="1668" spans="1:7" x14ac:dyDescent="0.15">
      <c r="A1668" s="86">
        <v>44046</v>
      </c>
      <c r="B1668" s="18">
        <v>127000</v>
      </c>
      <c r="C1668" s="14">
        <v>126500</v>
      </c>
      <c r="D1668" s="14">
        <v>128500</v>
      </c>
      <c r="E1668" s="14">
        <v>123500</v>
      </c>
      <c r="F1668" t="s">
        <v>1236</v>
      </c>
      <c r="G1668" s="15">
        <v>4.0000000000000001E-3</v>
      </c>
    </row>
    <row r="1669" spans="1:7" x14ac:dyDescent="0.15">
      <c r="A1669" s="86">
        <v>44045</v>
      </c>
      <c r="B1669" s="18">
        <v>126500</v>
      </c>
      <c r="C1669" s="14">
        <v>126500</v>
      </c>
      <c r="D1669" s="14">
        <v>126500</v>
      </c>
      <c r="E1669" s="14">
        <v>126500</v>
      </c>
      <c r="G1669" s="15">
        <v>0</v>
      </c>
    </row>
    <row r="1670" spans="1:7" x14ac:dyDescent="0.15">
      <c r="A1670" s="86">
        <v>44043</v>
      </c>
      <c r="B1670" s="18">
        <v>126500</v>
      </c>
      <c r="C1670" s="14">
        <v>128000</v>
      </c>
      <c r="D1670" s="14">
        <v>129500</v>
      </c>
      <c r="E1670" s="14">
        <v>125000</v>
      </c>
      <c r="F1670" t="s">
        <v>196</v>
      </c>
      <c r="G1670" s="15">
        <v>-7.7999999999999996E-3</v>
      </c>
    </row>
    <row r="1671" spans="1:7" x14ac:dyDescent="0.15">
      <c r="A1671" s="86">
        <v>44042</v>
      </c>
      <c r="B1671" s="18">
        <v>127500</v>
      </c>
      <c r="C1671" s="14">
        <v>127000</v>
      </c>
      <c r="D1671" s="14">
        <v>130500</v>
      </c>
      <c r="E1671" s="14">
        <v>126000</v>
      </c>
      <c r="F1671" t="s">
        <v>1237</v>
      </c>
      <c r="G1671" s="15">
        <v>0.02</v>
      </c>
    </row>
    <row r="1672" spans="1:7" x14ac:dyDescent="0.15">
      <c r="A1672" s="86">
        <v>44041</v>
      </c>
      <c r="B1672" s="18">
        <v>125000</v>
      </c>
      <c r="C1672" s="14">
        <v>122000</v>
      </c>
      <c r="D1672" s="14">
        <v>125500</v>
      </c>
      <c r="E1672" s="14">
        <v>120000</v>
      </c>
      <c r="F1672" t="s">
        <v>1065</v>
      </c>
      <c r="G1672" s="15">
        <v>1.6299999999999999E-2</v>
      </c>
    </row>
    <row r="1673" spans="1:7" x14ac:dyDescent="0.15">
      <c r="A1673" s="86">
        <v>44040</v>
      </c>
      <c r="B1673" s="18">
        <v>123000</v>
      </c>
      <c r="C1673" s="14">
        <v>125000</v>
      </c>
      <c r="D1673" s="14">
        <v>125500</v>
      </c>
      <c r="E1673" s="14">
        <v>122000</v>
      </c>
      <c r="F1673" t="s">
        <v>1238</v>
      </c>
      <c r="G1673" s="15">
        <v>-4.0000000000000001E-3</v>
      </c>
    </row>
    <row r="1674" spans="1:7" x14ac:dyDescent="0.15">
      <c r="A1674" s="86">
        <v>44039</v>
      </c>
      <c r="B1674" s="18">
        <v>123500</v>
      </c>
      <c r="C1674" s="14">
        <v>122500</v>
      </c>
      <c r="D1674" s="14">
        <v>126500</v>
      </c>
      <c r="E1674" s="14">
        <v>122500</v>
      </c>
      <c r="F1674" t="s">
        <v>1239</v>
      </c>
      <c r="G1674" s="15">
        <v>8.2000000000000007E-3</v>
      </c>
    </row>
    <row r="1675" spans="1:7" x14ac:dyDescent="0.15">
      <c r="A1675" s="86">
        <v>44038</v>
      </c>
      <c r="B1675" s="18">
        <v>122500</v>
      </c>
      <c r="C1675" s="14">
        <v>122500</v>
      </c>
      <c r="D1675" s="14">
        <v>122500</v>
      </c>
      <c r="E1675" s="14">
        <v>122500</v>
      </c>
      <c r="G1675" s="15">
        <v>0</v>
      </c>
    </row>
    <row r="1676" spans="1:7" x14ac:dyDescent="0.15">
      <c r="A1676" s="86">
        <v>44036</v>
      </c>
      <c r="B1676" s="18">
        <v>122500</v>
      </c>
      <c r="C1676" s="14">
        <v>123500</v>
      </c>
      <c r="D1676" s="14">
        <v>129000</v>
      </c>
      <c r="E1676" s="14">
        <v>121500</v>
      </c>
      <c r="F1676" t="s">
        <v>231</v>
      </c>
      <c r="G1676" s="15">
        <v>-1.61E-2</v>
      </c>
    </row>
    <row r="1677" spans="1:7" x14ac:dyDescent="0.15">
      <c r="A1677" s="86">
        <v>44035</v>
      </c>
      <c r="B1677" s="18">
        <v>124500</v>
      </c>
      <c r="C1677" s="14">
        <v>118500</v>
      </c>
      <c r="D1677" s="14">
        <v>125500</v>
      </c>
      <c r="E1677" s="14">
        <v>116000</v>
      </c>
      <c r="F1677" t="s">
        <v>1240</v>
      </c>
      <c r="G1677" s="15">
        <v>5.0599999999999999E-2</v>
      </c>
    </row>
    <row r="1678" spans="1:7" x14ac:dyDescent="0.15">
      <c r="A1678" s="86">
        <v>44034</v>
      </c>
      <c r="B1678" s="18">
        <v>118500</v>
      </c>
      <c r="C1678" s="14">
        <v>122000</v>
      </c>
      <c r="D1678" s="14">
        <v>124000</v>
      </c>
      <c r="E1678" s="14">
        <v>118500</v>
      </c>
      <c r="F1678" t="s">
        <v>1241</v>
      </c>
      <c r="G1678" s="15">
        <v>-2.47E-2</v>
      </c>
    </row>
    <row r="1679" spans="1:7" x14ac:dyDescent="0.15">
      <c r="A1679" s="86">
        <v>44033</v>
      </c>
      <c r="B1679" s="18">
        <v>121500</v>
      </c>
      <c r="C1679" s="14">
        <v>122000</v>
      </c>
      <c r="D1679" s="14">
        <v>124500</v>
      </c>
      <c r="E1679" s="14">
        <v>118000</v>
      </c>
      <c r="F1679" t="s">
        <v>1121</v>
      </c>
      <c r="G1679" s="15">
        <v>0</v>
      </c>
    </row>
    <row r="1680" spans="1:7" x14ac:dyDescent="0.15">
      <c r="A1680" s="86">
        <v>44032</v>
      </c>
      <c r="B1680" s="18">
        <v>121500</v>
      </c>
      <c r="C1680" s="14">
        <v>119000</v>
      </c>
      <c r="D1680" s="14">
        <v>125000</v>
      </c>
      <c r="E1680" s="14">
        <v>118000</v>
      </c>
      <c r="F1680" t="s">
        <v>1242</v>
      </c>
      <c r="G1680" s="15">
        <v>3.4000000000000002E-2</v>
      </c>
    </row>
    <row r="1681" spans="1:7" x14ac:dyDescent="0.15">
      <c r="A1681" s="86">
        <v>44031</v>
      </c>
      <c r="B1681" s="18">
        <v>117500</v>
      </c>
      <c r="C1681" s="14">
        <v>117500</v>
      </c>
      <c r="D1681" s="14">
        <v>117500</v>
      </c>
      <c r="E1681" s="14">
        <v>117500</v>
      </c>
      <c r="G1681" s="15">
        <v>0</v>
      </c>
    </row>
    <row r="1682" spans="1:7" x14ac:dyDescent="0.15">
      <c r="A1682" s="86">
        <v>44029</v>
      </c>
      <c r="B1682" s="18">
        <v>117500</v>
      </c>
      <c r="C1682" s="14">
        <v>109500</v>
      </c>
      <c r="D1682" s="14">
        <v>119000</v>
      </c>
      <c r="E1682" s="14">
        <v>109500</v>
      </c>
      <c r="F1682" t="s">
        <v>1243</v>
      </c>
      <c r="G1682" s="15">
        <v>6.8199999999999997E-2</v>
      </c>
    </row>
    <row r="1683" spans="1:7" x14ac:dyDescent="0.15">
      <c r="A1683" s="86">
        <v>44028</v>
      </c>
      <c r="B1683" s="18">
        <v>110000</v>
      </c>
      <c r="C1683" s="14">
        <v>110500</v>
      </c>
      <c r="D1683" s="14">
        <v>113000</v>
      </c>
      <c r="E1683" s="14">
        <v>109000</v>
      </c>
      <c r="F1683" t="s">
        <v>1244</v>
      </c>
      <c r="G1683" s="15">
        <v>9.1999999999999998E-3</v>
      </c>
    </row>
    <row r="1684" spans="1:7" x14ac:dyDescent="0.15">
      <c r="A1684" s="86">
        <v>44027</v>
      </c>
      <c r="B1684" s="18">
        <v>109000</v>
      </c>
      <c r="C1684" s="14">
        <v>104500</v>
      </c>
      <c r="D1684" s="14">
        <v>110000</v>
      </c>
      <c r="E1684" s="14">
        <v>104000</v>
      </c>
      <c r="F1684" t="s">
        <v>1061</v>
      </c>
      <c r="G1684" s="15">
        <v>7.3899999999999993E-2</v>
      </c>
    </row>
    <row r="1685" spans="1:7" x14ac:dyDescent="0.15">
      <c r="A1685" s="86">
        <v>44026</v>
      </c>
      <c r="B1685" s="18">
        <v>101500</v>
      </c>
      <c r="C1685" s="14">
        <v>101500</v>
      </c>
      <c r="D1685" s="14">
        <v>102000</v>
      </c>
      <c r="E1685" s="14">
        <v>99900</v>
      </c>
      <c r="F1685" t="s">
        <v>1245</v>
      </c>
      <c r="G1685" s="15">
        <v>0</v>
      </c>
    </row>
    <row r="1686" spans="1:7" x14ac:dyDescent="0.15">
      <c r="A1686" s="86">
        <v>44025</v>
      </c>
      <c r="B1686" s="18">
        <v>101500</v>
      </c>
      <c r="C1686" s="14">
        <v>101000</v>
      </c>
      <c r="D1686" s="14">
        <v>101500</v>
      </c>
      <c r="E1686" s="14">
        <v>100000</v>
      </c>
      <c r="F1686" t="s">
        <v>1246</v>
      </c>
      <c r="G1686" s="15">
        <v>3.2599999999999997E-2</v>
      </c>
    </row>
    <row r="1687" spans="1:7" x14ac:dyDescent="0.15">
      <c r="A1687" s="86">
        <v>44022</v>
      </c>
      <c r="B1687" s="18">
        <v>98300</v>
      </c>
      <c r="C1687" s="14">
        <v>99400</v>
      </c>
      <c r="D1687" s="14">
        <v>99500</v>
      </c>
      <c r="E1687" s="14">
        <v>98000</v>
      </c>
      <c r="F1687" t="s">
        <v>155</v>
      </c>
      <c r="G1687" s="15">
        <v>-1.3100000000000001E-2</v>
      </c>
    </row>
    <row r="1688" spans="1:7" x14ac:dyDescent="0.15">
      <c r="A1688" s="86">
        <v>44021</v>
      </c>
      <c r="B1688" s="18">
        <v>99600</v>
      </c>
      <c r="C1688" s="14">
        <v>100000</v>
      </c>
      <c r="D1688" s="14">
        <v>101000</v>
      </c>
      <c r="E1688" s="14">
        <v>99600</v>
      </c>
      <c r="F1688" t="s">
        <v>1247</v>
      </c>
      <c r="G1688" s="15">
        <v>0</v>
      </c>
    </row>
    <row r="1689" spans="1:7" x14ac:dyDescent="0.15">
      <c r="A1689" s="86">
        <v>44020</v>
      </c>
      <c r="B1689" s="18">
        <v>99600</v>
      </c>
      <c r="C1689" s="14">
        <v>99200</v>
      </c>
      <c r="D1689" s="14">
        <v>101000</v>
      </c>
      <c r="E1689" s="14">
        <v>99100</v>
      </c>
      <c r="F1689" t="s">
        <v>1083</v>
      </c>
      <c r="G1689" s="15">
        <v>4.0000000000000001E-3</v>
      </c>
    </row>
    <row r="1690" spans="1:7" x14ac:dyDescent="0.15">
      <c r="A1690" s="86">
        <v>44019</v>
      </c>
      <c r="B1690" s="18">
        <v>99200</v>
      </c>
      <c r="C1690" s="14">
        <v>103000</v>
      </c>
      <c r="D1690" s="14">
        <v>103500</v>
      </c>
      <c r="E1690" s="14">
        <v>99200</v>
      </c>
      <c r="F1690" t="s">
        <v>1248</v>
      </c>
      <c r="G1690" s="15">
        <v>-2.2700000000000001E-2</v>
      </c>
    </row>
    <row r="1691" spans="1:7" x14ac:dyDescent="0.15">
      <c r="A1691" s="86">
        <v>44018</v>
      </c>
      <c r="B1691" s="18">
        <v>101500</v>
      </c>
      <c r="C1691" s="14">
        <v>99700</v>
      </c>
      <c r="D1691" s="14">
        <v>102500</v>
      </c>
      <c r="E1691" s="14">
        <v>98800</v>
      </c>
      <c r="F1691" t="s">
        <v>1097</v>
      </c>
      <c r="G1691" s="15">
        <v>2.3199999999999998E-2</v>
      </c>
    </row>
    <row r="1692" spans="1:7" x14ac:dyDescent="0.15">
      <c r="A1692" s="86">
        <v>44017</v>
      </c>
      <c r="B1692" s="18">
        <v>99200</v>
      </c>
      <c r="C1692" s="14">
        <v>99200</v>
      </c>
      <c r="D1692" s="14">
        <v>99200</v>
      </c>
      <c r="E1692" s="14">
        <v>99200</v>
      </c>
      <c r="G1692" s="15">
        <v>0</v>
      </c>
    </row>
    <row r="1693" spans="1:7" x14ac:dyDescent="0.15">
      <c r="A1693" s="86">
        <v>44015</v>
      </c>
      <c r="B1693" s="18">
        <v>99200</v>
      </c>
      <c r="C1693" s="14">
        <v>99900</v>
      </c>
      <c r="D1693" s="14">
        <v>100500</v>
      </c>
      <c r="E1693" s="14">
        <v>98600</v>
      </c>
      <c r="F1693" t="s">
        <v>1249</v>
      </c>
      <c r="G1693" s="15">
        <v>2E-3</v>
      </c>
    </row>
    <row r="1694" spans="1:7" x14ac:dyDescent="0.15">
      <c r="A1694" s="86">
        <v>44014</v>
      </c>
      <c r="B1694" s="18">
        <v>99000</v>
      </c>
      <c r="C1694" s="14">
        <v>98300</v>
      </c>
      <c r="D1694" s="14">
        <v>99700</v>
      </c>
      <c r="E1694" s="14">
        <v>98300</v>
      </c>
      <c r="F1694" t="s">
        <v>1038</v>
      </c>
      <c r="G1694" s="15">
        <v>8.0999999999999996E-3</v>
      </c>
    </row>
    <row r="1695" spans="1:7" x14ac:dyDescent="0.15">
      <c r="A1695" s="86">
        <v>44013</v>
      </c>
      <c r="B1695" s="18">
        <v>98200</v>
      </c>
      <c r="C1695" s="14">
        <v>98700</v>
      </c>
      <c r="D1695" s="14">
        <v>99500</v>
      </c>
      <c r="E1695" s="14">
        <v>98000</v>
      </c>
      <c r="F1695" t="s">
        <v>1250</v>
      </c>
      <c r="G1695" s="15">
        <v>5.1000000000000004E-3</v>
      </c>
    </row>
    <row r="1696" spans="1:7" x14ac:dyDescent="0.15">
      <c r="A1696" s="86">
        <v>44012</v>
      </c>
      <c r="B1696" s="18">
        <v>97700</v>
      </c>
      <c r="C1696" s="14">
        <v>99100</v>
      </c>
      <c r="D1696" s="14">
        <v>99300</v>
      </c>
      <c r="E1696" s="14">
        <v>97700</v>
      </c>
      <c r="F1696" t="s">
        <v>1123</v>
      </c>
      <c r="G1696" s="15">
        <v>0</v>
      </c>
    </row>
    <row r="1697" spans="1:7" x14ac:dyDescent="0.15">
      <c r="A1697" s="86">
        <v>44011</v>
      </c>
      <c r="B1697" s="18">
        <v>97700</v>
      </c>
      <c r="C1697" s="14">
        <v>97700</v>
      </c>
      <c r="D1697" s="14">
        <v>98700</v>
      </c>
      <c r="E1697" s="14">
        <v>97600</v>
      </c>
      <c r="F1697" t="s">
        <v>1251</v>
      </c>
      <c r="G1697" s="15">
        <v>-2.3E-2</v>
      </c>
    </row>
    <row r="1698" spans="1:7" x14ac:dyDescent="0.15">
      <c r="A1698" s="86">
        <v>44010</v>
      </c>
      <c r="B1698" s="18">
        <v>100000</v>
      </c>
      <c r="C1698" s="14">
        <v>100000</v>
      </c>
      <c r="D1698" s="14">
        <v>100000</v>
      </c>
      <c r="E1698" s="14">
        <v>100000</v>
      </c>
      <c r="G1698" s="15">
        <v>0</v>
      </c>
    </row>
    <row r="1699" spans="1:7" x14ac:dyDescent="0.15">
      <c r="A1699" s="86">
        <v>44008</v>
      </c>
      <c r="B1699" s="18">
        <v>100000</v>
      </c>
      <c r="C1699" s="14">
        <v>100500</v>
      </c>
      <c r="D1699" s="14">
        <v>101000</v>
      </c>
      <c r="E1699" s="14">
        <v>99500</v>
      </c>
      <c r="F1699" t="s">
        <v>1252</v>
      </c>
      <c r="G1699" s="15">
        <v>6.0000000000000001E-3</v>
      </c>
    </row>
    <row r="1700" spans="1:7" x14ac:dyDescent="0.15">
      <c r="A1700" s="86">
        <v>44007</v>
      </c>
      <c r="B1700" s="18">
        <v>99400</v>
      </c>
      <c r="C1700" s="14">
        <v>100500</v>
      </c>
      <c r="D1700" s="14">
        <v>101000</v>
      </c>
      <c r="E1700" s="14">
        <v>99400</v>
      </c>
      <c r="F1700" t="s">
        <v>1037</v>
      </c>
      <c r="G1700" s="15">
        <v>-3.5000000000000003E-2</v>
      </c>
    </row>
    <row r="1701" spans="1:7" x14ac:dyDescent="0.15">
      <c r="A1701" s="86">
        <v>44006</v>
      </c>
      <c r="B1701" s="18">
        <v>103000</v>
      </c>
      <c r="C1701" s="14">
        <v>100500</v>
      </c>
      <c r="D1701" s="14">
        <v>103500</v>
      </c>
      <c r="E1701" s="14">
        <v>99900</v>
      </c>
      <c r="F1701" t="s">
        <v>1123</v>
      </c>
      <c r="G1701" s="15">
        <v>4.36E-2</v>
      </c>
    </row>
    <row r="1702" spans="1:7" x14ac:dyDescent="0.15">
      <c r="A1702" s="86">
        <v>44005</v>
      </c>
      <c r="B1702" s="18">
        <v>98700</v>
      </c>
      <c r="C1702" s="14">
        <v>99200</v>
      </c>
      <c r="D1702" s="14">
        <v>101000</v>
      </c>
      <c r="E1702" s="14">
        <v>98000</v>
      </c>
      <c r="F1702" t="s">
        <v>1065</v>
      </c>
      <c r="G1702" s="15">
        <v>2E-3</v>
      </c>
    </row>
    <row r="1703" spans="1:7" x14ac:dyDescent="0.15">
      <c r="A1703" s="86">
        <v>44004</v>
      </c>
      <c r="B1703" s="18">
        <v>98500</v>
      </c>
      <c r="C1703" s="14">
        <v>99100</v>
      </c>
      <c r="D1703" s="14">
        <v>100000</v>
      </c>
      <c r="E1703" s="14">
        <v>98500</v>
      </c>
      <c r="F1703" t="s">
        <v>1065</v>
      </c>
      <c r="G1703" s="15">
        <v>-1.4999999999999999E-2</v>
      </c>
    </row>
    <row r="1704" spans="1:7" x14ac:dyDescent="0.15">
      <c r="A1704" s="86">
        <v>44003</v>
      </c>
      <c r="B1704" s="18">
        <v>100000</v>
      </c>
      <c r="C1704" s="14">
        <v>100000</v>
      </c>
      <c r="D1704" s="14">
        <v>100000</v>
      </c>
      <c r="E1704" s="14">
        <v>100000</v>
      </c>
      <c r="G1704" s="15">
        <v>0</v>
      </c>
    </row>
    <row r="1705" spans="1:7" x14ac:dyDescent="0.15">
      <c r="A1705" s="86">
        <v>44001</v>
      </c>
      <c r="B1705" s="18">
        <v>100000</v>
      </c>
      <c r="C1705" s="14">
        <v>101000</v>
      </c>
      <c r="D1705" s="14">
        <v>101500</v>
      </c>
      <c r="E1705" s="14">
        <v>99100</v>
      </c>
      <c r="F1705" t="s">
        <v>1253</v>
      </c>
      <c r="G1705" s="15">
        <v>0</v>
      </c>
    </row>
    <row r="1706" spans="1:7" x14ac:dyDescent="0.15">
      <c r="A1706" s="86">
        <v>44000</v>
      </c>
      <c r="B1706" s="18">
        <v>100000</v>
      </c>
      <c r="C1706" s="14">
        <v>99100</v>
      </c>
      <c r="D1706" s="14">
        <v>102000</v>
      </c>
      <c r="E1706" s="14">
        <v>98400</v>
      </c>
      <c r="F1706" t="s">
        <v>1162</v>
      </c>
      <c r="G1706" s="15">
        <v>-5.0000000000000001E-3</v>
      </c>
    </row>
    <row r="1707" spans="1:7" x14ac:dyDescent="0.15">
      <c r="A1707" s="86">
        <v>43999</v>
      </c>
      <c r="B1707" s="18">
        <v>100500</v>
      </c>
      <c r="C1707" s="14">
        <v>100000</v>
      </c>
      <c r="D1707" s="14">
        <v>100500</v>
      </c>
      <c r="E1707" s="14">
        <v>99400</v>
      </c>
      <c r="F1707" t="s">
        <v>1101</v>
      </c>
      <c r="G1707" s="15">
        <v>-9.9000000000000008E-3</v>
      </c>
    </row>
    <row r="1708" spans="1:7" x14ac:dyDescent="0.15">
      <c r="A1708" s="86">
        <v>43998</v>
      </c>
      <c r="B1708" s="18">
        <v>101500</v>
      </c>
      <c r="C1708" s="14">
        <v>99100</v>
      </c>
      <c r="D1708" s="14">
        <v>101500</v>
      </c>
      <c r="E1708" s="14">
        <v>99100</v>
      </c>
      <c r="F1708" t="s">
        <v>135</v>
      </c>
      <c r="G1708" s="15">
        <v>4.6399999999999997E-2</v>
      </c>
    </row>
    <row r="1709" spans="1:7" x14ac:dyDescent="0.15">
      <c r="A1709" s="86">
        <v>43997</v>
      </c>
      <c r="B1709" s="18">
        <v>97000</v>
      </c>
      <c r="C1709" s="14">
        <v>102000</v>
      </c>
      <c r="D1709" s="14">
        <v>102500</v>
      </c>
      <c r="E1709" s="14">
        <v>97000</v>
      </c>
      <c r="F1709" t="s">
        <v>1140</v>
      </c>
      <c r="G1709" s="15">
        <v>-6.2799999999999995E-2</v>
      </c>
    </row>
    <row r="1710" spans="1:7" x14ac:dyDescent="0.15">
      <c r="A1710" s="86">
        <v>43996</v>
      </c>
      <c r="B1710" s="18">
        <v>103500</v>
      </c>
      <c r="C1710" s="14">
        <v>103500</v>
      </c>
      <c r="D1710" s="14">
        <v>103500</v>
      </c>
      <c r="E1710" s="14">
        <v>103500</v>
      </c>
      <c r="G1710" s="15">
        <v>0</v>
      </c>
    </row>
    <row r="1711" spans="1:7" x14ac:dyDescent="0.15">
      <c r="A1711" s="86">
        <v>43994</v>
      </c>
      <c r="B1711" s="18">
        <v>103500</v>
      </c>
      <c r="C1711" s="14">
        <v>101500</v>
      </c>
      <c r="D1711" s="14">
        <v>105000</v>
      </c>
      <c r="E1711" s="14">
        <v>101500</v>
      </c>
      <c r="F1711" t="s">
        <v>138</v>
      </c>
      <c r="G1711" s="15">
        <v>-4.6100000000000002E-2</v>
      </c>
    </row>
    <row r="1712" spans="1:7" x14ac:dyDescent="0.15">
      <c r="A1712" s="86">
        <v>43993</v>
      </c>
      <c r="B1712" s="18">
        <v>108500</v>
      </c>
      <c r="C1712" s="14">
        <v>110500</v>
      </c>
      <c r="D1712" s="14">
        <v>111000</v>
      </c>
      <c r="E1712" s="14">
        <v>107000</v>
      </c>
      <c r="F1712" t="s">
        <v>1086</v>
      </c>
      <c r="G1712" s="15">
        <v>-2.69E-2</v>
      </c>
    </row>
    <row r="1713" spans="1:7" x14ac:dyDescent="0.15">
      <c r="A1713" s="86">
        <v>43992</v>
      </c>
      <c r="B1713" s="18">
        <v>111500</v>
      </c>
      <c r="C1713" s="14">
        <v>111000</v>
      </c>
      <c r="D1713" s="14">
        <v>112000</v>
      </c>
      <c r="E1713" s="14">
        <v>109000</v>
      </c>
      <c r="F1713" t="s">
        <v>1184</v>
      </c>
      <c r="G1713" s="15">
        <v>-4.4999999999999997E-3</v>
      </c>
    </row>
    <row r="1714" spans="1:7" x14ac:dyDescent="0.15">
      <c r="A1714" s="86">
        <v>43991</v>
      </c>
      <c r="B1714" s="18">
        <v>112000</v>
      </c>
      <c r="C1714" s="14">
        <v>114000</v>
      </c>
      <c r="D1714" s="14">
        <v>115000</v>
      </c>
      <c r="E1714" s="14">
        <v>110500</v>
      </c>
      <c r="F1714" t="s">
        <v>1254</v>
      </c>
      <c r="G1714" s="15">
        <v>-8.8000000000000005E-3</v>
      </c>
    </row>
    <row r="1715" spans="1:7" x14ac:dyDescent="0.15">
      <c r="A1715" s="86">
        <v>43990</v>
      </c>
      <c r="B1715" s="18">
        <v>113000</v>
      </c>
      <c r="C1715" s="14">
        <v>114000</v>
      </c>
      <c r="D1715" s="14">
        <v>114500</v>
      </c>
      <c r="E1715" s="14">
        <v>111500</v>
      </c>
      <c r="F1715" t="s">
        <v>1038</v>
      </c>
      <c r="G1715" s="15">
        <v>1.7999999999999999E-2</v>
      </c>
    </row>
    <row r="1716" spans="1:7" x14ac:dyDescent="0.15">
      <c r="A1716" s="86">
        <v>43989</v>
      </c>
      <c r="B1716" s="18">
        <v>111000</v>
      </c>
      <c r="C1716" s="14">
        <v>111000</v>
      </c>
      <c r="D1716" s="14">
        <v>111000</v>
      </c>
      <c r="E1716" s="14">
        <v>111000</v>
      </c>
      <c r="G1716" s="15">
        <v>0</v>
      </c>
    </row>
    <row r="1717" spans="1:7" x14ac:dyDescent="0.15">
      <c r="A1717" s="86">
        <v>43987</v>
      </c>
      <c r="B1717" s="18">
        <v>111000</v>
      </c>
      <c r="C1717" s="14">
        <v>108000</v>
      </c>
      <c r="D1717" s="14">
        <v>112000</v>
      </c>
      <c r="E1717" s="14">
        <v>106500</v>
      </c>
      <c r="F1717" t="s">
        <v>1255</v>
      </c>
      <c r="G1717" s="15">
        <v>2.3E-2</v>
      </c>
    </row>
    <row r="1718" spans="1:7" x14ac:dyDescent="0.15">
      <c r="A1718" s="86">
        <v>43986</v>
      </c>
      <c r="B1718" s="18">
        <v>108500</v>
      </c>
      <c r="C1718" s="14">
        <v>111500</v>
      </c>
      <c r="D1718" s="14">
        <v>113000</v>
      </c>
      <c r="E1718" s="14">
        <v>105000</v>
      </c>
      <c r="F1718" t="s">
        <v>1065</v>
      </c>
      <c r="G1718" s="15">
        <v>0</v>
      </c>
    </row>
    <row r="1719" spans="1:7" x14ac:dyDescent="0.15">
      <c r="A1719" s="86">
        <v>43985</v>
      </c>
      <c r="B1719" s="18">
        <v>108500</v>
      </c>
      <c r="C1719" s="14">
        <v>105500</v>
      </c>
      <c r="D1719" s="14">
        <v>110000</v>
      </c>
      <c r="E1719" s="14">
        <v>105500</v>
      </c>
      <c r="F1719" t="s">
        <v>1094</v>
      </c>
      <c r="G1719" s="15">
        <v>5.8500000000000003E-2</v>
      </c>
    </row>
    <row r="1720" spans="1:7" x14ac:dyDescent="0.15">
      <c r="A1720" s="86">
        <v>43984</v>
      </c>
      <c r="B1720" s="18">
        <v>102500</v>
      </c>
      <c r="C1720" s="14">
        <v>99500</v>
      </c>
      <c r="D1720" s="14">
        <v>103000</v>
      </c>
      <c r="E1720" s="14">
        <v>98700</v>
      </c>
      <c r="F1720" t="s">
        <v>1101</v>
      </c>
      <c r="G1720" s="15">
        <v>2.5000000000000001E-2</v>
      </c>
    </row>
    <row r="1721" spans="1:7" x14ac:dyDescent="0.15">
      <c r="A1721" s="86">
        <v>43983</v>
      </c>
      <c r="B1721" s="18">
        <v>100000</v>
      </c>
      <c r="C1721" s="14">
        <v>98000</v>
      </c>
      <c r="D1721" s="14">
        <v>101500</v>
      </c>
      <c r="E1721" s="14">
        <v>98000</v>
      </c>
      <c r="F1721" t="s">
        <v>1256</v>
      </c>
      <c r="G1721" s="15">
        <v>2.0400000000000001E-2</v>
      </c>
    </row>
    <row r="1722" spans="1:7" x14ac:dyDescent="0.15">
      <c r="A1722" s="86">
        <v>43982</v>
      </c>
      <c r="B1722" s="18">
        <v>98000</v>
      </c>
      <c r="C1722" s="14">
        <v>98000</v>
      </c>
      <c r="D1722" s="14">
        <v>98000</v>
      </c>
      <c r="E1722" s="14">
        <v>98000</v>
      </c>
      <c r="G1722" s="15">
        <v>0</v>
      </c>
    </row>
    <row r="1723" spans="1:7" x14ac:dyDescent="0.15">
      <c r="A1723" s="86">
        <v>43980</v>
      </c>
      <c r="B1723" s="18">
        <v>98000</v>
      </c>
      <c r="C1723" s="14">
        <v>96300</v>
      </c>
      <c r="D1723" s="14">
        <v>99200</v>
      </c>
      <c r="E1723" s="14">
        <v>96300</v>
      </c>
      <c r="F1723" t="s">
        <v>1257</v>
      </c>
      <c r="G1723" s="15">
        <v>8.2000000000000007E-3</v>
      </c>
    </row>
    <row r="1724" spans="1:7" x14ac:dyDescent="0.15">
      <c r="A1724" s="86">
        <v>43979</v>
      </c>
      <c r="B1724" s="18">
        <v>97200</v>
      </c>
      <c r="C1724" s="14">
        <v>99600</v>
      </c>
      <c r="D1724" s="14">
        <v>99600</v>
      </c>
      <c r="E1724" s="14">
        <v>96200</v>
      </c>
      <c r="F1724" t="s">
        <v>1071</v>
      </c>
      <c r="G1724" s="15">
        <v>-9.1999999999999998E-3</v>
      </c>
    </row>
    <row r="1725" spans="1:7" x14ac:dyDescent="0.15">
      <c r="A1725" s="86">
        <v>43978</v>
      </c>
      <c r="B1725" s="18">
        <v>98100</v>
      </c>
      <c r="C1725" s="14">
        <v>98800</v>
      </c>
      <c r="D1725" s="14">
        <v>99400</v>
      </c>
      <c r="E1725" s="14">
        <v>97300</v>
      </c>
      <c r="F1725" t="s">
        <v>1066</v>
      </c>
      <c r="G1725" s="15">
        <v>3.0999999999999999E-3</v>
      </c>
    </row>
    <row r="1726" spans="1:7" x14ac:dyDescent="0.15">
      <c r="A1726" s="86">
        <v>43977</v>
      </c>
      <c r="B1726" s="18">
        <v>97800</v>
      </c>
      <c r="C1726" s="14">
        <v>95900</v>
      </c>
      <c r="D1726" s="14">
        <v>99500</v>
      </c>
      <c r="E1726" s="14">
        <v>95600</v>
      </c>
      <c r="F1726" t="s">
        <v>1208</v>
      </c>
      <c r="G1726" s="15">
        <v>1.8800000000000001E-2</v>
      </c>
    </row>
    <row r="1727" spans="1:7" x14ac:dyDescent="0.15">
      <c r="A1727" s="86">
        <v>43976</v>
      </c>
      <c r="B1727" s="18">
        <v>96000</v>
      </c>
      <c r="C1727" s="14">
        <v>94900</v>
      </c>
      <c r="D1727" s="14">
        <v>96200</v>
      </c>
      <c r="E1727" s="14">
        <v>94000</v>
      </c>
      <c r="F1727" t="s">
        <v>1066</v>
      </c>
      <c r="G1727" s="15">
        <v>1.5900000000000001E-2</v>
      </c>
    </row>
    <row r="1728" spans="1:7" x14ac:dyDescent="0.15">
      <c r="A1728" s="86">
        <v>43975</v>
      </c>
      <c r="B1728" s="18">
        <v>94500</v>
      </c>
      <c r="C1728" s="14">
        <v>94500</v>
      </c>
      <c r="D1728" s="14">
        <v>94500</v>
      </c>
      <c r="E1728" s="14">
        <v>94500</v>
      </c>
      <c r="G1728" s="15">
        <v>0</v>
      </c>
    </row>
    <row r="1729" spans="1:7" x14ac:dyDescent="0.15">
      <c r="A1729" s="86">
        <v>43973</v>
      </c>
      <c r="B1729" s="18">
        <v>94500</v>
      </c>
      <c r="C1729" s="14">
        <v>97100</v>
      </c>
      <c r="D1729" s="14">
        <v>97200</v>
      </c>
      <c r="E1729" s="14">
        <v>94000</v>
      </c>
      <c r="F1729" t="s">
        <v>1258</v>
      </c>
      <c r="G1729" s="15">
        <v>-2.7799999999999998E-2</v>
      </c>
    </row>
    <row r="1730" spans="1:7" x14ac:dyDescent="0.15">
      <c r="A1730" s="86">
        <v>43972</v>
      </c>
      <c r="B1730" s="18">
        <v>97200</v>
      </c>
      <c r="C1730" s="14">
        <v>98600</v>
      </c>
      <c r="D1730" s="14">
        <v>98700</v>
      </c>
      <c r="E1730" s="14">
        <v>96600</v>
      </c>
      <c r="F1730" t="s">
        <v>1259</v>
      </c>
      <c r="G1730" s="15">
        <v>-1E-3</v>
      </c>
    </row>
    <row r="1731" spans="1:7" x14ac:dyDescent="0.15">
      <c r="A1731" s="86">
        <v>43971</v>
      </c>
      <c r="B1731" s="18">
        <v>97300</v>
      </c>
      <c r="C1731" s="14">
        <v>98100</v>
      </c>
      <c r="D1731" s="14">
        <v>98100</v>
      </c>
      <c r="E1731" s="14">
        <v>96400</v>
      </c>
      <c r="F1731" t="s">
        <v>1072</v>
      </c>
      <c r="G1731" s="15">
        <v>-1.8200000000000001E-2</v>
      </c>
    </row>
    <row r="1732" spans="1:7" x14ac:dyDescent="0.15">
      <c r="A1732" s="86">
        <v>43970</v>
      </c>
      <c r="B1732" s="18">
        <v>99100</v>
      </c>
      <c r="C1732" s="14">
        <v>95100</v>
      </c>
      <c r="D1732" s="14">
        <v>99300</v>
      </c>
      <c r="E1732" s="14">
        <v>94700</v>
      </c>
      <c r="F1732" t="s">
        <v>1232</v>
      </c>
      <c r="G1732" s="15">
        <v>7.8299999999999995E-2</v>
      </c>
    </row>
    <row r="1733" spans="1:7" x14ac:dyDescent="0.15">
      <c r="A1733" s="86">
        <v>43969</v>
      </c>
      <c r="B1733" s="18">
        <v>91900</v>
      </c>
      <c r="C1733" s="14">
        <v>92200</v>
      </c>
      <c r="D1733" s="14">
        <v>92200</v>
      </c>
      <c r="E1733" s="14">
        <v>91000</v>
      </c>
      <c r="F1733" t="s">
        <v>1057</v>
      </c>
      <c r="G1733" s="15">
        <v>-4.3E-3</v>
      </c>
    </row>
    <row r="1734" spans="1:7" x14ac:dyDescent="0.15">
      <c r="A1734" s="86">
        <v>43968</v>
      </c>
      <c r="B1734" s="18">
        <v>92300</v>
      </c>
      <c r="C1734" s="14">
        <v>92300</v>
      </c>
      <c r="D1734" s="14">
        <v>92300</v>
      </c>
      <c r="E1734" s="14">
        <v>92300</v>
      </c>
      <c r="G1734" s="15">
        <v>0</v>
      </c>
    </row>
    <row r="1735" spans="1:7" x14ac:dyDescent="0.15">
      <c r="A1735" s="86">
        <v>43966</v>
      </c>
      <c r="B1735" s="18">
        <v>92300</v>
      </c>
      <c r="C1735" s="14">
        <v>92000</v>
      </c>
      <c r="D1735" s="14">
        <v>92700</v>
      </c>
      <c r="E1735" s="14">
        <v>91200</v>
      </c>
      <c r="F1735" t="s">
        <v>1260</v>
      </c>
      <c r="G1735" s="15">
        <v>0</v>
      </c>
    </row>
    <row r="1736" spans="1:7" x14ac:dyDescent="0.15">
      <c r="A1736" s="86">
        <v>43965</v>
      </c>
      <c r="B1736" s="18">
        <v>92300</v>
      </c>
      <c r="C1736" s="14">
        <v>92500</v>
      </c>
      <c r="D1736" s="14">
        <v>92900</v>
      </c>
      <c r="E1736" s="14">
        <v>91500</v>
      </c>
      <c r="F1736" t="s">
        <v>1152</v>
      </c>
      <c r="G1736" s="15">
        <v>-8.6E-3</v>
      </c>
    </row>
    <row r="1737" spans="1:7" x14ac:dyDescent="0.15">
      <c r="A1737" s="86">
        <v>43964</v>
      </c>
      <c r="B1737" s="18">
        <v>93100</v>
      </c>
      <c r="C1737" s="14">
        <v>90800</v>
      </c>
      <c r="D1737" s="14">
        <v>93100</v>
      </c>
      <c r="E1737" s="14">
        <v>90500</v>
      </c>
      <c r="F1737" t="s">
        <v>1261</v>
      </c>
      <c r="G1737" s="15">
        <v>1.3100000000000001E-2</v>
      </c>
    </row>
    <row r="1738" spans="1:7" x14ac:dyDescent="0.15">
      <c r="A1738" s="86">
        <v>43963</v>
      </c>
      <c r="B1738" s="18">
        <v>91900</v>
      </c>
      <c r="C1738" s="14">
        <v>93200</v>
      </c>
      <c r="D1738" s="14">
        <v>93800</v>
      </c>
      <c r="E1738" s="14">
        <v>91100</v>
      </c>
      <c r="F1738" t="s">
        <v>111</v>
      </c>
      <c r="G1738" s="15">
        <v>-1.9199999999999998E-2</v>
      </c>
    </row>
    <row r="1739" spans="1:7" x14ac:dyDescent="0.15">
      <c r="A1739" s="86">
        <v>43962</v>
      </c>
      <c r="B1739" s="18">
        <v>93700</v>
      </c>
      <c r="C1739" s="14">
        <v>95800</v>
      </c>
      <c r="D1739" s="14">
        <v>96500</v>
      </c>
      <c r="E1739" s="14">
        <v>93500</v>
      </c>
      <c r="F1739" t="s">
        <v>125</v>
      </c>
      <c r="G1739" s="15">
        <v>-8.5000000000000006E-3</v>
      </c>
    </row>
    <row r="1740" spans="1:7" x14ac:dyDescent="0.15">
      <c r="A1740" s="86">
        <v>43961</v>
      </c>
      <c r="B1740" s="18">
        <v>94500</v>
      </c>
      <c r="C1740" s="14">
        <v>94500</v>
      </c>
      <c r="D1740" s="14">
        <v>94500</v>
      </c>
      <c r="E1740" s="14">
        <v>94500</v>
      </c>
      <c r="G1740" s="15">
        <v>0</v>
      </c>
    </row>
    <row r="1741" spans="1:7" x14ac:dyDescent="0.15">
      <c r="A1741" s="86">
        <v>43959</v>
      </c>
      <c r="B1741" s="18">
        <v>94500</v>
      </c>
      <c r="C1741" s="14">
        <v>93000</v>
      </c>
      <c r="D1741" s="14">
        <v>95400</v>
      </c>
      <c r="E1741" s="14">
        <v>93000</v>
      </c>
      <c r="F1741" t="s">
        <v>591</v>
      </c>
      <c r="G1741" s="15">
        <v>2.0500000000000001E-2</v>
      </c>
    </row>
    <row r="1742" spans="1:7" x14ac:dyDescent="0.15">
      <c r="A1742" s="86">
        <v>43958</v>
      </c>
      <c r="B1742" s="18">
        <v>92600</v>
      </c>
      <c r="C1742" s="14">
        <v>92800</v>
      </c>
      <c r="D1742" s="14">
        <v>93000</v>
      </c>
      <c r="E1742" s="14">
        <v>91800</v>
      </c>
      <c r="F1742" t="s">
        <v>1262</v>
      </c>
      <c r="G1742" s="15">
        <v>-6.4000000000000003E-3</v>
      </c>
    </row>
    <row r="1743" spans="1:7" x14ac:dyDescent="0.15">
      <c r="A1743" s="86">
        <v>43957</v>
      </c>
      <c r="B1743" s="18">
        <v>93200</v>
      </c>
      <c r="C1743" s="14">
        <v>93300</v>
      </c>
      <c r="D1743" s="14">
        <v>94200</v>
      </c>
      <c r="E1743" s="14">
        <v>92600</v>
      </c>
      <c r="F1743" t="s">
        <v>380</v>
      </c>
      <c r="G1743" s="15">
        <v>1.8599999999999998E-2</v>
      </c>
    </row>
    <row r="1744" spans="1:7" x14ac:dyDescent="0.15">
      <c r="A1744" s="86">
        <v>43956</v>
      </c>
      <c r="B1744" s="18">
        <v>91500</v>
      </c>
      <c r="C1744" s="14">
        <v>91500</v>
      </c>
      <c r="D1744" s="14">
        <v>91500</v>
      </c>
      <c r="E1744" s="14">
        <v>91500</v>
      </c>
      <c r="G1744" s="15">
        <v>0</v>
      </c>
    </row>
    <row r="1745" spans="1:7" x14ac:dyDescent="0.15">
      <c r="A1745" s="86">
        <v>43955</v>
      </c>
      <c r="B1745" s="18">
        <v>91500</v>
      </c>
      <c r="C1745" s="14">
        <v>91100</v>
      </c>
      <c r="D1745" s="14">
        <v>92900</v>
      </c>
      <c r="E1745" s="14">
        <v>90700</v>
      </c>
      <c r="F1745" t="s">
        <v>226</v>
      </c>
      <c r="G1745" s="15">
        <v>-2.24E-2</v>
      </c>
    </row>
    <row r="1746" spans="1:7" x14ac:dyDescent="0.15">
      <c r="A1746" s="86">
        <v>43954</v>
      </c>
      <c r="B1746" s="18">
        <v>93600</v>
      </c>
      <c r="C1746" s="14">
        <v>93600</v>
      </c>
      <c r="D1746" s="14">
        <v>93600</v>
      </c>
      <c r="E1746" s="14">
        <v>93600</v>
      </c>
      <c r="G1746" s="15">
        <v>0</v>
      </c>
    </row>
    <row r="1747" spans="1:7" x14ac:dyDescent="0.15">
      <c r="A1747" s="86">
        <v>43950</v>
      </c>
      <c r="B1747" s="18">
        <v>93600</v>
      </c>
      <c r="C1747" s="14">
        <v>93500</v>
      </c>
      <c r="D1747" s="14">
        <v>94000</v>
      </c>
      <c r="E1747" s="14">
        <v>92400</v>
      </c>
      <c r="F1747" t="s">
        <v>551</v>
      </c>
      <c r="G1747" s="15">
        <v>4.3E-3</v>
      </c>
    </row>
    <row r="1748" spans="1:7" x14ac:dyDescent="0.15">
      <c r="A1748" s="86">
        <v>43949</v>
      </c>
      <c r="B1748" s="18">
        <v>93200</v>
      </c>
      <c r="C1748" s="14">
        <v>92500</v>
      </c>
      <c r="D1748" s="14">
        <v>94400</v>
      </c>
      <c r="E1748" s="14">
        <v>92200</v>
      </c>
      <c r="F1748" t="s">
        <v>1210</v>
      </c>
      <c r="G1748" s="15">
        <v>1.7500000000000002E-2</v>
      </c>
    </row>
    <row r="1749" spans="1:7" x14ac:dyDescent="0.15">
      <c r="A1749" s="86">
        <v>43948</v>
      </c>
      <c r="B1749" s="18">
        <v>91600</v>
      </c>
      <c r="C1749" s="14">
        <v>90300</v>
      </c>
      <c r="D1749" s="14">
        <v>92500</v>
      </c>
      <c r="E1749" s="14">
        <v>90200</v>
      </c>
      <c r="F1749" t="s">
        <v>223</v>
      </c>
      <c r="G1749" s="15">
        <v>1.66E-2</v>
      </c>
    </row>
    <row r="1750" spans="1:7" x14ac:dyDescent="0.15">
      <c r="A1750" s="86">
        <v>43947</v>
      </c>
      <c r="B1750" s="18">
        <v>90100</v>
      </c>
      <c r="C1750" s="14">
        <v>90100</v>
      </c>
      <c r="D1750" s="14">
        <v>90100</v>
      </c>
      <c r="E1750" s="14">
        <v>90100</v>
      </c>
      <c r="G1750" s="15">
        <v>0</v>
      </c>
    </row>
    <row r="1751" spans="1:7" x14ac:dyDescent="0.15">
      <c r="A1751" s="86">
        <v>43945</v>
      </c>
      <c r="B1751" s="18">
        <v>90100</v>
      </c>
      <c r="C1751" s="14">
        <v>91300</v>
      </c>
      <c r="D1751" s="14">
        <v>92300</v>
      </c>
      <c r="E1751" s="14">
        <v>90100</v>
      </c>
      <c r="F1751" t="s">
        <v>544</v>
      </c>
      <c r="G1751" s="15">
        <v>-2.4899999999999999E-2</v>
      </c>
    </row>
    <row r="1752" spans="1:7" x14ac:dyDescent="0.15">
      <c r="A1752" s="86">
        <v>43944</v>
      </c>
      <c r="B1752" s="18">
        <v>92400</v>
      </c>
      <c r="C1752" s="14">
        <v>93700</v>
      </c>
      <c r="D1752" s="14">
        <v>95100</v>
      </c>
      <c r="E1752" s="14">
        <v>92100</v>
      </c>
      <c r="F1752" t="s">
        <v>1263</v>
      </c>
      <c r="G1752" s="15">
        <v>-2.2000000000000001E-3</v>
      </c>
    </row>
    <row r="1753" spans="1:7" x14ac:dyDescent="0.15">
      <c r="A1753" s="86">
        <v>43943</v>
      </c>
      <c r="B1753" s="18">
        <v>92600</v>
      </c>
      <c r="C1753" s="14">
        <v>90800</v>
      </c>
      <c r="D1753" s="14">
        <v>95200</v>
      </c>
      <c r="E1753" s="14">
        <v>89400</v>
      </c>
      <c r="F1753" t="s">
        <v>213</v>
      </c>
      <c r="G1753" s="15">
        <v>-9.5999999999999992E-3</v>
      </c>
    </row>
    <row r="1754" spans="1:7" x14ac:dyDescent="0.15">
      <c r="A1754" s="86">
        <v>43942</v>
      </c>
      <c r="B1754" s="18">
        <v>93500</v>
      </c>
      <c r="C1754" s="14">
        <v>96100</v>
      </c>
      <c r="D1754" s="14">
        <v>96500</v>
      </c>
      <c r="E1754" s="14">
        <v>91300</v>
      </c>
      <c r="F1754" t="s">
        <v>252</v>
      </c>
      <c r="G1754" s="15">
        <v>-4.2000000000000003E-2</v>
      </c>
    </row>
    <row r="1755" spans="1:7" x14ac:dyDescent="0.15">
      <c r="A1755" s="86">
        <v>43941</v>
      </c>
      <c r="B1755" s="18">
        <v>97600</v>
      </c>
      <c r="C1755" s="14">
        <v>100000</v>
      </c>
      <c r="D1755" s="14">
        <v>100500</v>
      </c>
      <c r="E1755" s="14">
        <v>97100</v>
      </c>
      <c r="F1755" t="s">
        <v>950</v>
      </c>
      <c r="G1755" s="15">
        <v>-2.8899999999999999E-2</v>
      </c>
    </row>
    <row r="1756" spans="1:7" x14ac:dyDescent="0.15">
      <c r="A1756" s="86">
        <v>43940</v>
      </c>
      <c r="B1756" s="18">
        <v>100500</v>
      </c>
      <c r="C1756" s="14">
        <v>100500</v>
      </c>
      <c r="D1756" s="14">
        <v>100500</v>
      </c>
      <c r="E1756" s="14">
        <v>100500</v>
      </c>
      <c r="G1756" s="15">
        <v>0</v>
      </c>
    </row>
    <row r="1757" spans="1:7" x14ac:dyDescent="0.15">
      <c r="A1757" s="86">
        <v>43938</v>
      </c>
      <c r="B1757" s="18">
        <v>100500</v>
      </c>
      <c r="C1757" s="14">
        <v>101000</v>
      </c>
      <c r="D1757" s="14">
        <v>103500</v>
      </c>
      <c r="E1757" s="14">
        <v>100000</v>
      </c>
      <c r="F1757" t="s">
        <v>406</v>
      </c>
      <c r="G1757" s="15">
        <v>1.41E-2</v>
      </c>
    </row>
    <row r="1758" spans="1:7" x14ac:dyDescent="0.15">
      <c r="A1758" s="86">
        <v>43937</v>
      </c>
      <c r="B1758" s="18">
        <v>99100</v>
      </c>
      <c r="C1758" s="14">
        <v>98900</v>
      </c>
      <c r="D1758" s="14">
        <v>100500</v>
      </c>
      <c r="E1758" s="14">
        <v>98300</v>
      </c>
      <c r="F1758" t="s">
        <v>722</v>
      </c>
      <c r="G1758" s="15">
        <v>-8.9999999999999993E-3</v>
      </c>
    </row>
    <row r="1759" spans="1:7" x14ac:dyDescent="0.15">
      <c r="A1759" s="86">
        <v>43936</v>
      </c>
      <c r="B1759" s="18">
        <v>100000</v>
      </c>
      <c r="C1759" s="14">
        <v>100000</v>
      </c>
      <c r="D1759" s="14">
        <v>100000</v>
      </c>
      <c r="E1759" s="14">
        <v>100000</v>
      </c>
      <c r="G1759" s="15">
        <v>0</v>
      </c>
    </row>
    <row r="1760" spans="1:7" x14ac:dyDescent="0.15">
      <c r="A1760" s="86">
        <v>43935</v>
      </c>
      <c r="B1760" s="18">
        <v>100000</v>
      </c>
      <c r="C1760" s="14">
        <v>98600</v>
      </c>
      <c r="D1760" s="14">
        <v>101500</v>
      </c>
      <c r="E1760" s="14">
        <v>97700</v>
      </c>
      <c r="F1760" t="s">
        <v>182</v>
      </c>
      <c r="G1760" s="15">
        <v>2.2499999999999999E-2</v>
      </c>
    </row>
    <row r="1761" spans="1:7" x14ac:dyDescent="0.15">
      <c r="A1761" s="86">
        <v>43934</v>
      </c>
      <c r="B1761" s="18">
        <v>97800</v>
      </c>
      <c r="C1761" s="14">
        <v>98800</v>
      </c>
      <c r="D1761" s="14">
        <v>99000</v>
      </c>
      <c r="E1761" s="14">
        <v>97400</v>
      </c>
      <c r="F1761" t="s">
        <v>127</v>
      </c>
      <c r="G1761" s="15">
        <v>-1.9099999999999999E-2</v>
      </c>
    </row>
    <row r="1762" spans="1:7" x14ac:dyDescent="0.15">
      <c r="A1762" s="86">
        <v>43933</v>
      </c>
      <c r="B1762" s="18">
        <v>99700</v>
      </c>
      <c r="C1762" s="14">
        <v>99700</v>
      </c>
      <c r="D1762" s="14">
        <v>99700</v>
      </c>
      <c r="E1762" s="14">
        <v>99700</v>
      </c>
      <c r="G1762" s="15">
        <v>0</v>
      </c>
    </row>
    <row r="1763" spans="1:7" x14ac:dyDescent="0.15">
      <c r="A1763" s="86">
        <v>43931</v>
      </c>
      <c r="B1763" s="18">
        <v>99700</v>
      </c>
      <c r="C1763" s="14">
        <v>97400</v>
      </c>
      <c r="D1763" s="14">
        <v>101500</v>
      </c>
      <c r="E1763" s="14">
        <v>96200</v>
      </c>
      <c r="F1763" t="s">
        <v>1264</v>
      </c>
      <c r="G1763" s="15">
        <v>2.6800000000000001E-2</v>
      </c>
    </row>
    <row r="1764" spans="1:7" x14ac:dyDescent="0.15">
      <c r="A1764" s="86">
        <v>43930</v>
      </c>
      <c r="B1764" s="18">
        <v>97100</v>
      </c>
      <c r="C1764" s="14">
        <v>92300</v>
      </c>
      <c r="D1764" s="14">
        <v>97900</v>
      </c>
      <c r="E1764" s="14">
        <v>91100</v>
      </c>
      <c r="F1764" t="s">
        <v>185</v>
      </c>
      <c r="G1764" s="15">
        <v>7.8899999999999998E-2</v>
      </c>
    </row>
    <row r="1765" spans="1:7" x14ac:dyDescent="0.15">
      <c r="A1765" s="86">
        <v>43929</v>
      </c>
      <c r="B1765" s="18">
        <v>90000</v>
      </c>
      <c r="C1765" s="14">
        <v>89800</v>
      </c>
      <c r="D1765" s="14">
        <v>91900</v>
      </c>
      <c r="E1765" s="14">
        <v>88900</v>
      </c>
      <c r="F1765" t="s">
        <v>593</v>
      </c>
      <c r="G1765" s="15">
        <v>-4.4000000000000003E-3</v>
      </c>
    </row>
    <row r="1766" spans="1:7" x14ac:dyDescent="0.15">
      <c r="A1766" s="86">
        <v>43928</v>
      </c>
      <c r="B1766" s="18">
        <v>90400</v>
      </c>
      <c r="C1766" s="14">
        <v>92100</v>
      </c>
      <c r="D1766" s="14">
        <v>92500</v>
      </c>
      <c r="E1766" s="14">
        <v>88600</v>
      </c>
      <c r="F1766" t="s">
        <v>152</v>
      </c>
      <c r="G1766" s="15">
        <v>1.7999999999999999E-2</v>
      </c>
    </row>
    <row r="1767" spans="1:7" x14ac:dyDescent="0.15">
      <c r="A1767" s="86">
        <v>43927</v>
      </c>
      <c r="B1767" s="18">
        <v>88800</v>
      </c>
      <c r="C1767" s="14">
        <v>86500</v>
      </c>
      <c r="D1767" s="14">
        <v>88800</v>
      </c>
      <c r="E1767" s="14">
        <v>85900</v>
      </c>
      <c r="F1767" t="s">
        <v>191</v>
      </c>
      <c r="G1767" s="15">
        <v>2.9000000000000001E-2</v>
      </c>
    </row>
    <row r="1768" spans="1:7" x14ac:dyDescent="0.15">
      <c r="A1768" s="86">
        <v>43926</v>
      </c>
      <c r="B1768" s="18">
        <v>86300</v>
      </c>
      <c r="C1768" s="14">
        <v>86300</v>
      </c>
      <c r="D1768" s="14">
        <v>86300</v>
      </c>
      <c r="E1768" s="14">
        <v>86300</v>
      </c>
      <c r="G1768" s="15">
        <v>0</v>
      </c>
    </row>
    <row r="1769" spans="1:7" x14ac:dyDescent="0.15">
      <c r="A1769" s="86">
        <v>43924</v>
      </c>
      <c r="B1769" s="18">
        <v>86300</v>
      </c>
      <c r="C1769" s="14">
        <v>86600</v>
      </c>
      <c r="D1769" s="14">
        <v>87000</v>
      </c>
      <c r="E1769" s="14">
        <v>85600</v>
      </c>
      <c r="F1769" t="s">
        <v>587</v>
      </c>
      <c r="G1769" s="15">
        <v>-3.5000000000000001E-3</v>
      </c>
    </row>
    <row r="1770" spans="1:7" x14ac:dyDescent="0.15">
      <c r="A1770" s="86">
        <v>43923</v>
      </c>
      <c r="B1770" s="18">
        <v>86600</v>
      </c>
      <c r="C1770" s="14">
        <v>85300</v>
      </c>
      <c r="D1770" s="14">
        <v>86800</v>
      </c>
      <c r="E1770" s="14">
        <v>83000</v>
      </c>
      <c r="F1770" t="s">
        <v>406</v>
      </c>
      <c r="G1770" s="15">
        <v>1.41E-2</v>
      </c>
    </row>
    <row r="1771" spans="1:7" x14ac:dyDescent="0.15">
      <c r="A1771" s="86">
        <v>43922</v>
      </c>
      <c r="B1771" s="18">
        <v>85400</v>
      </c>
      <c r="C1771" s="14">
        <v>88500</v>
      </c>
      <c r="D1771" s="14">
        <v>90100</v>
      </c>
      <c r="E1771" s="14">
        <v>85300</v>
      </c>
      <c r="F1771" t="s">
        <v>1265</v>
      </c>
      <c r="G1771" s="15">
        <v>-3.7199999999999997E-2</v>
      </c>
    </row>
    <row r="1772" spans="1:7" x14ac:dyDescent="0.15">
      <c r="A1772" s="86">
        <v>43921</v>
      </c>
      <c r="B1772" s="18">
        <v>88700</v>
      </c>
      <c r="C1772" s="14">
        <v>87700</v>
      </c>
      <c r="D1772" s="14">
        <v>88700</v>
      </c>
      <c r="E1772" s="14">
        <v>86000</v>
      </c>
      <c r="F1772" t="s">
        <v>1265</v>
      </c>
      <c r="G1772" s="15">
        <v>3.8600000000000002E-2</v>
      </c>
    </row>
    <row r="1773" spans="1:7" x14ac:dyDescent="0.15">
      <c r="A1773" s="86">
        <v>43920</v>
      </c>
      <c r="B1773" s="18">
        <v>85400</v>
      </c>
      <c r="C1773" s="14">
        <v>82800</v>
      </c>
      <c r="D1773" s="14">
        <v>86400</v>
      </c>
      <c r="E1773" s="14">
        <v>82100</v>
      </c>
      <c r="F1773" t="s">
        <v>1266</v>
      </c>
      <c r="G1773" s="15">
        <v>-1.1599999999999999E-2</v>
      </c>
    </row>
    <row r="1774" spans="1:7" x14ac:dyDescent="0.15">
      <c r="A1774" s="86">
        <v>43919</v>
      </c>
      <c r="B1774" s="18">
        <v>86400</v>
      </c>
      <c r="C1774" s="14">
        <v>86400</v>
      </c>
      <c r="D1774" s="14">
        <v>86400</v>
      </c>
      <c r="E1774" s="14">
        <v>86400</v>
      </c>
      <c r="G1774" s="15">
        <v>0</v>
      </c>
    </row>
    <row r="1775" spans="1:7" x14ac:dyDescent="0.15">
      <c r="A1775" s="86">
        <v>43917</v>
      </c>
      <c r="B1775" s="18">
        <v>86400</v>
      </c>
      <c r="C1775" s="14">
        <v>89700</v>
      </c>
      <c r="D1775" s="14">
        <v>90000</v>
      </c>
      <c r="E1775" s="14">
        <v>84500</v>
      </c>
      <c r="F1775" t="s">
        <v>1267</v>
      </c>
      <c r="G1775" s="15">
        <v>1.77E-2</v>
      </c>
    </row>
    <row r="1776" spans="1:7" x14ac:dyDescent="0.15">
      <c r="A1776" s="86">
        <v>43916</v>
      </c>
      <c r="B1776" s="18">
        <v>84900</v>
      </c>
      <c r="C1776" s="14">
        <v>85500</v>
      </c>
      <c r="D1776" s="14">
        <v>90200</v>
      </c>
      <c r="E1776" s="14">
        <v>82600</v>
      </c>
      <c r="F1776" t="s">
        <v>1045</v>
      </c>
      <c r="G1776" s="15">
        <v>4.7000000000000002E-3</v>
      </c>
    </row>
    <row r="1777" spans="1:7" x14ac:dyDescent="0.15">
      <c r="A1777" s="86">
        <v>43915</v>
      </c>
      <c r="B1777" s="18">
        <v>84500</v>
      </c>
      <c r="C1777" s="14">
        <v>79800</v>
      </c>
      <c r="D1777" s="14">
        <v>85500</v>
      </c>
      <c r="E1777" s="14">
        <v>78900</v>
      </c>
      <c r="F1777" t="s">
        <v>1203</v>
      </c>
      <c r="G1777" s="15">
        <v>0.12970000000000001</v>
      </c>
    </row>
    <row r="1778" spans="1:7" x14ac:dyDescent="0.15">
      <c r="A1778" s="86">
        <v>43914</v>
      </c>
      <c r="B1778" s="18">
        <v>74800</v>
      </c>
      <c r="C1778" s="14">
        <v>71400</v>
      </c>
      <c r="D1778" s="14">
        <v>75700</v>
      </c>
      <c r="E1778" s="14">
        <v>70000</v>
      </c>
      <c r="F1778" t="s">
        <v>1037</v>
      </c>
      <c r="G1778" s="15">
        <v>8.5599999999999996E-2</v>
      </c>
    </row>
    <row r="1779" spans="1:7" x14ac:dyDescent="0.15">
      <c r="A1779" s="86">
        <v>43913</v>
      </c>
      <c r="B1779" s="18">
        <v>68900</v>
      </c>
      <c r="C1779" s="14">
        <v>67200</v>
      </c>
      <c r="D1779" s="14">
        <v>71000</v>
      </c>
      <c r="E1779" s="14">
        <v>66300</v>
      </c>
      <c r="F1779" t="s">
        <v>1268</v>
      </c>
      <c r="G1779" s="15">
        <v>-3.09E-2</v>
      </c>
    </row>
    <row r="1780" spans="1:7" x14ac:dyDescent="0.15">
      <c r="A1780" s="86">
        <v>43912</v>
      </c>
      <c r="B1780" s="18">
        <v>71100</v>
      </c>
      <c r="C1780" s="14">
        <v>71100</v>
      </c>
      <c r="D1780" s="14">
        <v>71100</v>
      </c>
      <c r="E1780" s="14">
        <v>71100</v>
      </c>
      <c r="G1780" s="15">
        <v>0</v>
      </c>
    </row>
    <row r="1781" spans="1:7" x14ac:dyDescent="0.15">
      <c r="A1781" s="86">
        <v>43910</v>
      </c>
      <c r="B1781" s="18">
        <v>71100</v>
      </c>
      <c r="C1781" s="14">
        <v>67500</v>
      </c>
      <c r="D1781" s="14">
        <v>72400</v>
      </c>
      <c r="E1781" s="14">
        <v>65000</v>
      </c>
      <c r="F1781" t="s">
        <v>557</v>
      </c>
      <c r="G1781" s="15">
        <v>7.8899999999999998E-2</v>
      </c>
    </row>
    <row r="1782" spans="1:7" x14ac:dyDescent="0.15">
      <c r="A1782" s="86">
        <v>43909</v>
      </c>
      <c r="B1782" s="18">
        <v>65900</v>
      </c>
      <c r="C1782" s="14">
        <v>75200</v>
      </c>
      <c r="D1782" s="14">
        <v>75900</v>
      </c>
      <c r="E1782" s="14">
        <v>65100</v>
      </c>
      <c r="F1782" t="s">
        <v>1121</v>
      </c>
      <c r="G1782" s="15">
        <v>-0.10340000000000001</v>
      </c>
    </row>
    <row r="1783" spans="1:7" x14ac:dyDescent="0.15">
      <c r="A1783" s="86">
        <v>43908</v>
      </c>
      <c r="B1783" s="18">
        <v>73500</v>
      </c>
      <c r="C1783" s="14">
        <v>80500</v>
      </c>
      <c r="D1783" s="14">
        <v>81200</v>
      </c>
      <c r="E1783" s="14">
        <v>73500</v>
      </c>
      <c r="F1783" t="s">
        <v>183</v>
      </c>
      <c r="G1783" s="15">
        <v>-8.2400000000000001E-2</v>
      </c>
    </row>
    <row r="1784" spans="1:7" x14ac:dyDescent="0.15">
      <c r="A1784" s="86">
        <v>43907</v>
      </c>
      <c r="B1784" s="18">
        <v>80100</v>
      </c>
      <c r="C1784" s="14">
        <v>78100</v>
      </c>
      <c r="D1784" s="14">
        <v>83400</v>
      </c>
      <c r="E1784" s="14">
        <v>78100</v>
      </c>
      <c r="F1784" t="s">
        <v>1269</v>
      </c>
      <c r="G1784" s="15">
        <v>-3.3799999999999997E-2</v>
      </c>
    </row>
    <row r="1785" spans="1:7" x14ac:dyDescent="0.15">
      <c r="A1785" s="86">
        <v>43906</v>
      </c>
      <c r="B1785" s="18">
        <v>82900</v>
      </c>
      <c r="C1785" s="14">
        <v>88300</v>
      </c>
      <c r="D1785" s="14">
        <v>89500</v>
      </c>
      <c r="E1785" s="14">
        <v>82900</v>
      </c>
      <c r="F1785" t="s">
        <v>183</v>
      </c>
      <c r="G1785" s="15">
        <v>-4.9299999999999997E-2</v>
      </c>
    </row>
    <row r="1786" spans="1:7" x14ac:dyDescent="0.15">
      <c r="A1786" s="86">
        <v>43905</v>
      </c>
      <c r="B1786" s="18">
        <v>87200</v>
      </c>
      <c r="C1786" s="14">
        <v>87200</v>
      </c>
      <c r="D1786" s="14">
        <v>87200</v>
      </c>
      <c r="E1786" s="14">
        <v>87200</v>
      </c>
      <c r="G1786" s="15">
        <v>0</v>
      </c>
    </row>
    <row r="1787" spans="1:7" x14ac:dyDescent="0.15">
      <c r="A1787" s="86">
        <v>43903</v>
      </c>
      <c r="B1787" s="18">
        <v>87200</v>
      </c>
      <c r="C1787" s="14">
        <v>86500</v>
      </c>
      <c r="D1787" s="14">
        <v>90200</v>
      </c>
      <c r="E1787" s="14">
        <v>83500</v>
      </c>
      <c r="F1787" t="s">
        <v>204</v>
      </c>
      <c r="G1787" s="15">
        <v>-8.2100000000000006E-2</v>
      </c>
    </row>
    <row r="1788" spans="1:7" x14ac:dyDescent="0.15">
      <c r="A1788" s="86">
        <v>43902</v>
      </c>
      <c r="B1788" s="18">
        <v>95000</v>
      </c>
      <c r="C1788" s="14">
        <v>100000</v>
      </c>
      <c r="D1788" s="14">
        <v>100500</v>
      </c>
      <c r="E1788" s="14">
        <v>94500</v>
      </c>
      <c r="F1788" t="s">
        <v>1001</v>
      </c>
      <c r="G1788" s="15">
        <v>-0.05</v>
      </c>
    </row>
    <row r="1789" spans="1:7" x14ac:dyDescent="0.15">
      <c r="A1789" s="86">
        <v>43901</v>
      </c>
      <c r="B1789" s="18">
        <v>100000</v>
      </c>
      <c r="C1789" s="14">
        <v>103000</v>
      </c>
      <c r="D1789" s="14">
        <v>103000</v>
      </c>
      <c r="E1789" s="14">
        <v>99700</v>
      </c>
      <c r="F1789" t="s">
        <v>577</v>
      </c>
      <c r="G1789" s="15">
        <v>-1.9599999999999999E-2</v>
      </c>
    </row>
    <row r="1790" spans="1:7" x14ac:dyDescent="0.15">
      <c r="A1790" s="86">
        <v>43900</v>
      </c>
      <c r="B1790" s="18">
        <v>102000</v>
      </c>
      <c r="C1790" s="14">
        <v>102500</v>
      </c>
      <c r="D1790" s="14">
        <v>105000</v>
      </c>
      <c r="E1790" s="14">
        <v>101000</v>
      </c>
      <c r="F1790" t="s">
        <v>147</v>
      </c>
      <c r="G1790" s="15">
        <v>-1.9199999999999998E-2</v>
      </c>
    </row>
    <row r="1791" spans="1:7" x14ac:dyDescent="0.15">
      <c r="A1791" s="86">
        <v>43899</v>
      </c>
      <c r="B1791" s="18">
        <v>104000</v>
      </c>
      <c r="C1791" s="14">
        <v>108000</v>
      </c>
      <c r="D1791" s="14">
        <v>108000</v>
      </c>
      <c r="E1791" s="14">
        <v>103500</v>
      </c>
      <c r="F1791" t="s">
        <v>195</v>
      </c>
      <c r="G1791" s="15">
        <v>-5.8799999999999998E-2</v>
      </c>
    </row>
    <row r="1792" spans="1:7" x14ac:dyDescent="0.15">
      <c r="A1792" s="86">
        <v>43898</v>
      </c>
      <c r="B1792" s="18">
        <v>110500</v>
      </c>
      <c r="C1792" s="14">
        <v>110500</v>
      </c>
      <c r="D1792" s="14">
        <v>110500</v>
      </c>
      <c r="E1792" s="14">
        <v>110500</v>
      </c>
      <c r="G1792" s="15">
        <v>0</v>
      </c>
    </row>
    <row r="1793" spans="1:7" x14ac:dyDescent="0.15">
      <c r="A1793" s="86">
        <v>43896</v>
      </c>
      <c r="B1793" s="18">
        <v>110500</v>
      </c>
      <c r="C1793" s="14">
        <v>113000</v>
      </c>
      <c r="D1793" s="14">
        <v>113500</v>
      </c>
      <c r="E1793" s="14">
        <v>110000</v>
      </c>
      <c r="F1793" t="s">
        <v>1270</v>
      </c>
      <c r="G1793" s="15">
        <v>-3.0700000000000002E-2</v>
      </c>
    </row>
    <row r="1794" spans="1:7" x14ac:dyDescent="0.15">
      <c r="A1794" s="86">
        <v>43895</v>
      </c>
      <c r="B1794" s="18">
        <v>114000</v>
      </c>
      <c r="C1794" s="14">
        <v>115500</v>
      </c>
      <c r="D1794" s="14">
        <v>116000</v>
      </c>
      <c r="E1794" s="14">
        <v>113000</v>
      </c>
      <c r="F1794" t="s">
        <v>106</v>
      </c>
      <c r="G1794" s="15">
        <v>8.8000000000000005E-3</v>
      </c>
    </row>
    <row r="1795" spans="1:7" x14ac:dyDescent="0.15">
      <c r="A1795" s="86">
        <v>43894</v>
      </c>
      <c r="B1795" s="18">
        <v>113000</v>
      </c>
      <c r="C1795" s="14">
        <v>112000</v>
      </c>
      <c r="D1795" s="14">
        <v>114000</v>
      </c>
      <c r="E1795" s="14">
        <v>112000</v>
      </c>
      <c r="F1795" t="s">
        <v>574</v>
      </c>
      <c r="G1795" s="15">
        <v>4.4000000000000003E-3</v>
      </c>
    </row>
    <row r="1796" spans="1:7" x14ac:dyDescent="0.15">
      <c r="A1796" s="86">
        <v>43893</v>
      </c>
      <c r="B1796" s="18">
        <v>112500</v>
      </c>
      <c r="C1796" s="14">
        <v>116000</v>
      </c>
      <c r="D1796" s="14">
        <v>116500</v>
      </c>
      <c r="E1796" s="14">
        <v>112000</v>
      </c>
      <c r="F1796" t="s">
        <v>135</v>
      </c>
      <c r="G1796" s="15">
        <v>-8.8000000000000005E-3</v>
      </c>
    </row>
    <row r="1797" spans="1:7" x14ac:dyDescent="0.15">
      <c r="A1797" s="86">
        <v>43892</v>
      </c>
      <c r="B1797" s="18">
        <v>113500</v>
      </c>
      <c r="C1797" s="14">
        <v>116000</v>
      </c>
      <c r="D1797" s="14">
        <v>116000</v>
      </c>
      <c r="E1797" s="14">
        <v>113000</v>
      </c>
      <c r="F1797" t="s">
        <v>551</v>
      </c>
      <c r="G1797" s="15">
        <v>-1.2999999999999999E-2</v>
      </c>
    </row>
    <row r="1798" spans="1:7" x14ac:dyDescent="0.15">
      <c r="A1798" s="86">
        <v>43891</v>
      </c>
      <c r="B1798" s="18">
        <v>115000</v>
      </c>
      <c r="C1798" s="14">
        <v>115000</v>
      </c>
      <c r="D1798" s="14">
        <v>115000</v>
      </c>
      <c r="E1798" s="14">
        <v>115000</v>
      </c>
      <c r="G1798" s="15">
        <v>0</v>
      </c>
    </row>
    <row r="1799" spans="1:7" x14ac:dyDescent="0.15">
      <c r="A1799" s="86">
        <v>43889</v>
      </c>
      <c r="B1799" s="18">
        <v>115000</v>
      </c>
      <c r="C1799" s="14">
        <v>118500</v>
      </c>
      <c r="D1799" s="14">
        <v>119000</v>
      </c>
      <c r="E1799" s="14">
        <v>114000</v>
      </c>
      <c r="F1799" t="s">
        <v>1271</v>
      </c>
      <c r="G1799" s="15">
        <v>-4.9599999999999998E-2</v>
      </c>
    </row>
    <row r="1800" spans="1:7" x14ac:dyDescent="0.15">
      <c r="A1800" s="86">
        <v>43888</v>
      </c>
      <c r="B1800" s="18">
        <v>121000</v>
      </c>
      <c r="C1800" s="14">
        <v>122500</v>
      </c>
      <c r="D1800" s="14">
        <v>123500</v>
      </c>
      <c r="E1800" s="14">
        <v>120000</v>
      </c>
      <c r="F1800" t="s">
        <v>1272</v>
      </c>
      <c r="G1800" s="15">
        <v>-1.2200000000000001E-2</v>
      </c>
    </row>
    <row r="1801" spans="1:7" x14ac:dyDescent="0.15">
      <c r="A1801" s="86">
        <v>43887</v>
      </c>
      <c r="B1801" s="18">
        <v>122500</v>
      </c>
      <c r="C1801" s="14">
        <v>121000</v>
      </c>
      <c r="D1801" s="14">
        <v>124000</v>
      </c>
      <c r="E1801" s="14">
        <v>120000</v>
      </c>
      <c r="F1801" t="s">
        <v>379</v>
      </c>
      <c r="G1801" s="15">
        <v>0</v>
      </c>
    </row>
    <row r="1802" spans="1:7" x14ac:dyDescent="0.15">
      <c r="A1802" s="86">
        <v>43886</v>
      </c>
      <c r="B1802" s="18">
        <v>122500</v>
      </c>
      <c r="C1802" s="14">
        <v>122500</v>
      </c>
      <c r="D1802" s="14">
        <v>124500</v>
      </c>
      <c r="E1802" s="14">
        <v>122000</v>
      </c>
      <c r="F1802" t="s">
        <v>1273</v>
      </c>
      <c r="G1802" s="15">
        <v>0</v>
      </c>
    </row>
    <row r="1803" spans="1:7" x14ac:dyDescent="0.15">
      <c r="A1803" s="86">
        <v>43885</v>
      </c>
      <c r="B1803" s="18">
        <v>122500</v>
      </c>
      <c r="C1803" s="14">
        <v>124500</v>
      </c>
      <c r="D1803" s="14">
        <v>125000</v>
      </c>
      <c r="E1803" s="14">
        <v>122000</v>
      </c>
      <c r="F1803" t="s">
        <v>1274</v>
      </c>
      <c r="G1803" s="15">
        <v>-4.2999999999999997E-2</v>
      </c>
    </row>
    <row r="1804" spans="1:7" x14ac:dyDescent="0.15">
      <c r="A1804" s="86">
        <v>43884</v>
      </c>
      <c r="B1804" s="18">
        <v>128000</v>
      </c>
      <c r="C1804" s="14">
        <v>128000</v>
      </c>
      <c r="D1804" s="14">
        <v>128000</v>
      </c>
      <c r="E1804" s="14">
        <v>128000</v>
      </c>
      <c r="G1804" s="15">
        <v>0</v>
      </c>
    </row>
    <row r="1805" spans="1:7" x14ac:dyDescent="0.15">
      <c r="A1805" s="86">
        <v>43882</v>
      </c>
      <c r="B1805" s="18">
        <v>128000</v>
      </c>
      <c r="C1805" s="14">
        <v>128000</v>
      </c>
      <c r="D1805" s="14">
        <v>129500</v>
      </c>
      <c r="E1805" s="14">
        <v>127000</v>
      </c>
      <c r="F1805" t="s">
        <v>1275</v>
      </c>
      <c r="G1805" s="15">
        <v>-1.54E-2</v>
      </c>
    </row>
    <row r="1806" spans="1:7" x14ac:dyDescent="0.15">
      <c r="A1806" s="86">
        <v>43881</v>
      </c>
      <c r="B1806" s="18">
        <v>130000</v>
      </c>
      <c r="C1806" s="14">
        <v>132500</v>
      </c>
      <c r="D1806" s="14">
        <v>133000</v>
      </c>
      <c r="E1806" s="14">
        <v>129000</v>
      </c>
      <c r="F1806" t="s">
        <v>1276</v>
      </c>
      <c r="G1806" s="15">
        <v>-1.14E-2</v>
      </c>
    </row>
    <row r="1807" spans="1:7" x14ac:dyDescent="0.15">
      <c r="A1807" s="86">
        <v>43880</v>
      </c>
      <c r="B1807" s="18">
        <v>131500</v>
      </c>
      <c r="C1807" s="14">
        <v>133000</v>
      </c>
      <c r="D1807" s="14">
        <v>134000</v>
      </c>
      <c r="E1807" s="14">
        <v>130500</v>
      </c>
      <c r="F1807" t="s">
        <v>1277</v>
      </c>
      <c r="G1807" s="15">
        <v>-7.4999999999999997E-3</v>
      </c>
    </row>
    <row r="1808" spans="1:7" x14ac:dyDescent="0.15">
      <c r="A1808" s="86">
        <v>43879</v>
      </c>
      <c r="B1808" s="18">
        <v>132500</v>
      </c>
      <c r="C1808" s="14">
        <v>134000</v>
      </c>
      <c r="D1808" s="14">
        <v>134500</v>
      </c>
      <c r="E1808" s="14">
        <v>131000</v>
      </c>
      <c r="F1808" t="s">
        <v>1278</v>
      </c>
      <c r="G1808" s="15">
        <v>-2.2100000000000002E-2</v>
      </c>
    </row>
    <row r="1809" spans="1:7" x14ac:dyDescent="0.15">
      <c r="A1809" s="86">
        <v>43878</v>
      </c>
      <c r="B1809" s="18">
        <v>135500</v>
      </c>
      <c r="C1809" s="14">
        <v>133500</v>
      </c>
      <c r="D1809" s="14">
        <v>136000</v>
      </c>
      <c r="E1809" s="14">
        <v>132500</v>
      </c>
      <c r="F1809" t="s">
        <v>1279</v>
      </c>
      <c r="G1809" s="15">
        <v>1.4999999999999999E-2</v>
      </c>
    </row>
    <row r="1810" spans="1:7" x14ac:dyDescent="0.15">
      <c r="A1810" s="86">
        <v>43877</v>
      </c>
      <c r="B1810" s="18">
        <v>133500</v>
      </c>
      <c r="C1810" s="14">
        <v>133500</v>
      </c>
      <c r="D1810" s="14">
        <v>133500</v>
      </c>
      <c r="E1810" s="14">
        <v>133500</v>
      </c>
      <c r="G1810" s="15">
        <v>0</v>
      </c>
    </row>
    <row r="1811" spans="1:7" x14ac:dyDescent="0.15">
      <c r="A1811" s="86">
        <v>43875</v>
      </c>
      <c r="B1811" s="18">
        <v>133500</v>
      </c>
      <c r="C1811" s="14">
        <v>132500</v>
      </c>
      <c r="D1811" s="14">
        <v>135000</v>
      </c>
      <c r="E1811" s="14">
        <v>131500</v>
      </c>
      <c r="F1811" t="s">
        <v>1280</v>
      </c>
      <c r="G1811" s="15">
        <v>3.8E-3</v>
      </c>
    </row>
    <row r="1812" spans="1:7" x14ac:dyDescent="0.15">
      <c r="A1812" s="86">
        <v>43874</v>
      </c>
      <c r="B1812" s="18">
        <v>133000</v>
      </c>
      <c r="C1812" s="14">
        <v>137000</v>
      </c>
      <c r="D1812" s="14">
        <v>137500</v>
      </c>
      <c r="E1812" s="14">
        <v>133000</v>
      </c>
      <c r="F1812" t="s">
        <v>380</v>
      </c>
      <c r="G1812" s="15">
        <v>-2.2100000000000002E-2</v>
      </c>
    </row>
    <row r="1813" spans="1:7" x14ac:dyDescent="0.15">
      <c r="A1813" s="86">
        <v>43873</v>
      </c>
      <c r="B1813" s="18">
        <v>136000</v>
      </c>
      <c r="C1813" s="14">
        <v>132500</v>
      </c>
      <c r="D1813" s="14">
        <v>137500</v>
      </c>
      <c r="E1813" s="14">
        <v>132500</v>
      </c>
      <c r="F1813" t="s">
        <v>886</v>
      </c>
      <c r="G1813" s="15">
        <v>2.64E-2</v>
      </c>
    </row>
    <row r="1814" spans="1:7" x14ac:dyDescent="0.15">
      <c r="A1814" s="86">
        <v>43872</v>
      </c>
      <c r="B1814" s="18">
        <v>132500</v>
      </c>
      <c r="C1814" s="14">
        <v>131000</v>
      </c>
      <c r="D1814" s="14">
        <v>135000</v>
      </c>
      <c r="E1814" s="14">
        <v>130500</v>
      </c>
      <c r="F1814" t="s">
        <v>1281</v>
      </c>
      <c r="G1814" s="15">
        <v>1.9199999999999998E-2</v>
      </c>
    </row>
    <row r="1815" spans="1:7" x14ac:dyDescent="0.15">
      <c r="A1815" s="86">
        <v>43871</v>
      </c>
      <c r="B1815" s="18">
        <v>130000</v>
      </c>
      <c r="C1815" s="14">
        <v>129500</v>
      </c>
      <c r="D1815" s="14">
        <v>132000</v>
      </c>
      <c r="E1815" s="14">
        <v>129000</v>
      </c>
      <c r="F1815" t="s">
        <v>1282</v>
      </c>
      <c r="G1815" s="15">
        <v>-7.6E-3</v>
      </c>
    </row>
    <row r="1816" spans="1:7" x14ac:dyDescent="0.15">
      <c r="A1816" s="86">
        <v>43870</v>
      </c>
      <c r="B1816" s="18">
        <v>131000</v>
      </c>
      <c r="C1816" s="14">
        <v>131000</v>
      </c>
      <c r="D1816" s="14">
        <v>131000</v>
      </c>
      <c r="E1816" s="14">
        <v>131000</v>
      </c>
      <c r="G1816" s="15">
        <v>0</v>
      </c>
    </row>
    <row r="1817" spans="1:7" x14ac:dyDescent="0.15">
      <c r="A1817" s="86">
        <v>43868</v>
      </c>
      <c r="B1817" s="18">
        <v>131000</v>
      </c>
      <c r="C1817" s="14">
        <v>130500</v>
      </c>
      <c r="D1817" s="14">
        <v>131000</v>
      </c>
      <c r="E1817" s="14">
        <v>127500</v>
      </c>
      <c r="F1817" t="s">
        <v>1283</v>
      </c>
      <c r="G1817" s="15">
        <v>-7.6E-3</v>
      </c>
    </row>
    <row r="1818" spans="1:7" x14ac:dyDescent="0.15">
      <c r="A1818" s="86">
        <v>43867</v>
      </c>
      <c r="B1818" s="18">
        <v>132000</v>
      </c>
      <c r="C1818" s="14">
        <v>125500</v>
      </c>
      <c r="D1818" s="14">
        <v>133000</v>
      </c>
      <c r="E1818" s="14">
        <v>125500</v>
      </c>
      <c r="F1818" t="s">
        <v>1284</v>
      </c>
      <c r="G1818" s="15">
        <v>6.4500000000000002E-2</v>
      </c>
    </row>
    <row r="1819" spans="1:7" x14ac:dyDescent="0.15">
      <c r="A1819" s="86">
        <v>43866</v>
      </c>
      <c r="B1819" s="18">
        <v>124000</v>
      </c>
      <c r="C1819" s="14">
        <v>125000</v>
      </c>
      <c r="D1819" s="14">
        <v>126000</v>
      </c>
      <c r="E1819" s="14">
        <v>123500</v>
      </c>
      <c r="F1819" t="s">
        <v>1285</v>
      </c>
      <c r="G1819" s="15">
        <v>0</v>
      </c>
    </row>
    <row r="1820" spans="1:7" x14ac:dyDescent="0.15">
      <c r="A1820" s="86">
        <v>43865</v>
      </c>
      <c r="B1820" s="18">
        <v>124000</v>
      </c>
      <c r="C1820" s="14">
        <v>123500</v>
      </c>
      <c r="D1820" s="14">
        <v>126000</v>
      </c>
      <c r="E1820" s="14">
        <v>122500</v>
      </c>
      <c r="F1820" t="s">
        <v>81</v>
      </c>
      <c r="G1820" s="15">
        <v>4.0000000000000001E-3</v>
      </c>
    </row>
    <row r="1821" spans="1:7" x14ac:dyDescent="0.15">
      <c r="A1821" s="86">
        <v>43864</v>
      </c>
      <c r="B1821" s="18">
        <v>123500</v>
      </c>
      <c r="C1821" s="14">
        <v>123000</v>
      </c>
      <c r="D1821" s="14">
        <v>125000</v>
      </c>
      <c r="E1821" s="14">
        <v>121000</v>
      </c>
      <c r="F1821" t="s">
        <v>226</v>
      </c>
      <c r="G1821" s="15">
        <v>-1.2E-2</v>
      </c>
    </row>
    <row r="1822" spans="1:7" x14ac:dyDescent="0.15">
      <c r="A1822" s="86">
        <v>43863</v>
      </c>
      <c r="B1822" s="18">
        <v>125000</v>
      </c>
      <c r="C1822" s="14">
        <v>125000</v>
      </c>
      <c r="D1822" s="14">
        <v>125000</v>
      </c>
      <c r="E1822" s="14">
        <v>125000</v>
      </c>
      <c r="G1822" s="15">
        <v>0</v>
      </c>
    </row>
    <row r="1823" spans="1:7" x14ac:dyDescent="0.15">
      <c r="A1823" s="86">
        <v>43861</v>
      </c>
      <c r="B1823" s="18">
        <v>125000</v>
      </c>
      <c r="C1823" s="14">
        <v>128500</v>
      </c>
      <c r="D1823" s="14">
        <v>129500</v>
      </c>
      <c r="E1823" s="14">
        <v>124500</v>
      </c>
      <c r="F1823" t="s">
        <v>380</v>
      </c>
      <c r="G1823" s="15">
        <v>-1.9599999999999999E-2</v>
      </c>
    </row>
    <row r="1824" spans="1:7" x14ac:dyDescent="0.15">
      <c r="A1824" s="86">
        <v>43860</v>
      </c>
      <c r="B1824" s="18">
        <v>127500</v>
      </c>
      <c r="C1824" s="14">
        <v>130000</v>
      </c>
      <c r="D1824" s="14">
        <v>130500</v>
      </c>
      <c r="E1824" s="14">
        <v>126500</v>
      </c>
      <c r="F1824" t="s">
        <v>380</v>
      </c>
      <c r="G1824" s="15">
        <v>-2.6700000000000002E-2</v>
      </c>
    </row>
    <row r="1825" spans="1:7" x14ac:dyDescent="0.15">
      <c r="A1825" s="86">
        <v>43859</v>
      </c>
      <c r="B1825" s="18">
        <v>131000</v>
      </c>
      <c r="C1825" s="14">
        <v>132000</v>
      </c>
      <c r="D1825" s="14">
        <v>133000</v>
      </c>
      <c r="E1825" s="14">
        <v>129000</v>
      </c>
      <c r="F1825" t="s">
        <v>1286</v>
      </c>
      <c r="G1825" s="15">
        <v>0</v>
      </c>
    </row>
    <row r="1826" spans="1:7" x14ac:dyDescent="0.15">
      <c r="A1826" s="86">
        <v>43858</v>
      </c>
      <c r="B1826" s="18">
        <v>131000</v>
      </c>
      <c r="C1826" s="14">
        <v>127000</v>
      </c>
      <c r="D1826" s="14">
        <v>132500</v>
      </c>
      <c r="E1826" s="14">
        <v>127000</v>
      </c>
      <c r="F1826" t="s">
        <v>195</v>
      </c>
      <c r="G1826" s="15">
        <v>3.8E-3</v>
      </c>
    </row>
    <row r="1827" spans="1:7" x14ac:dyDescent="0.15">
      <c r="A1827" s="86">
        <v>43857</v>
      </c>
      <c r="B1827" s="18">
        <v>130500</v>
      </c>
      <c r="C1827" s="14">
        <v>130500</v>
      </c>
      <c r="D1827" s="14">
        <v>130500</v>
      </c>
      <c r="E1827" s="14">
        <v>130500</v>
      </c>
      <c r="G1827" s="15">
        <v>0</v>
      </c>
    </row>
    <row r="1828" spans="1:7" x14ac:dyDescent="0.15">
      <c r="A1828" s="86">
        <v>43853</v>
      </c>
      <c r="B1828" s="18">
        <v>130500</v>
      </c>
      <c r="C1828" s="14">
        <v>130000</v>
      </c>
      <c r="D1828" s="14">
        <v>131500</v>
      </c>
      <c r="E1828" s="14">
        <v>128000</v>
      </c>
      <c r="F1828" t="s">
        <v>1287</v>
      </c>
      <c r="G1828" s="15">
        <v>2.76E-2</v>
      </c>
    </row>
    <row r="1829" spans="1:7" x14ac:dyDescent="0.15">
      <c r="A1829" s="86">
        <v>43852</v>
      </c>
      <c r="B1829" s="18">
        <v>127000</v>
      </c>
      <c r="C1829" s="14">
        <v>117500</v>
      </c>
      <c r="D1829" s="14">
        <v>127000</v>
      </c>
      <c r="E1829" s="14">
        <v>117500</v>
      </c>
      <c r="F1829" t="s">
        <v>1288</v>
      </c>
      <c r="G1829" s="15">
        <v>8.5500000000000007E-2</v>
      </c>
    </row>
    <row r="1830" spans="1:7" x14ac:dyDescent="0.15">
      <c r="A1830" s="86">
        <v>43851</v>
      </c>
      <c r="B1830" s="18">
        <v>117000</v>
      </c>
      <c r="C1830" s="14">
        <v>118000</v>
      </c>
      <c r="D1830" s="14">
        <v>118500</v>
      </c>
      <c r="E1830" s="14">
        <v>116500</v>
      </c>
      <c r="F1830" t="s">
        <v>1289</v>
      </c>
      <c r="G1830" s="15">
        <v>-8.5000000000000006E-3</v>
      </c>
    </row>
    <row r="1831" spans="1:7" x14ac:dyDescent="0.15">
      <c r="A1831" s="86">
        <v>43850</v>
      </c>
      <c r="B1831" s="18">
        <v>118000</v>
      </c>
      <c r="C1831" s="14">
        <v>119500</v>
      </c>
      <c r="D1831" s="14">
        <v>119500</v>
      </c>
      <c r="E1831" s="14">
        <v>117500</v>
      </c>
      <c r="F1831" t="s">
        <v>1290</v>
      </c>
      <c r="G1831" s="15">
        <v>-4.1999999999999997E-3</v>
      </c>
    </row>
    <row r="1832" spans="1:7" x14ac:dyDescent="0.15">
      <c r="A1832" s="86">
        <v>43849</v>
      </c>
      <c r="B1832" s="18">
        <v>118500</v>
      </c>
      <c r="C1832" s="14">
        <v>118500</v>
      </c>
      <c r="D1832" s="14">
        <v>118500</v>
      </c>
      <c r="E1832" s="14">
        <v>118500</v>
      </c>
      <c r="G1832" s="15">
        <v>0</v>
      </c>
    </row>
    <row r="1833" spans="1:7" x14ac:dyDescent="0.15">
      <c r="A1833" s="86">
        <v>43847</v>
      </c>
      <c r="B1833" s="18">
        <v>118500</v>
      </c>
      <c r="C1833" s="14">
        <v>118500</v>
      </c>
      <c r="D1833" s="14">
        <v>120000</v>
      </c>
      <c r="E1833" s="14">
        <v>118000</v>
      </c>
      <c r="F1833" t="s">
        <v>1291</v>
      </c>
      <c r="G1833" s="15">
        <v>0</v>
      </c>
    </row>
    <row r="1834" spans="1:7" x14ac:dyDescent="0.15">
      <c r="A1834" s="86">
        <v>43846</v>
      </c>
      <c r="B1834" s="18">
        <v>118500</v>
      </c>
      <c r="C1834" s="14">
        <v>117000</v>
      </c>
      <c r="D1834" s="14">
        <v>120000</v>
      </c>
      <c r="E1834" s="14">
        <v>116500</v>
      </c>
      <c r="F1834" t="s">
        <v>1292</v>
      </c>
      <c r="G1834" s="15">
        <v>3.04E-2</v>
      </c>
    </row>
    <row r="1835" spans="1:7" x14ac:dyDescent="0.15">
      <c r="A1835" s="86">
        <v>43845</v>
      </c>
      <c r="B1835" s="18">
        <v>115000</v>
      </c>
      <c r="C1835" s="14">
        <v>116000</v>
      </c>
      <c r="D1835" s="14">
        <v>116000</v>
      </c>
      <c r="E1835" s="14">
        <v>114000</v>
      </c>
      <c r="F1835" t="s">
        <v>1293</v>
      </c>
      <c r="G1835" s="15">
        <v>-8.6E-3</v>
      </c>
    </row>
    <row r="1836" spans="1:7" x14ac:dyDescent="0.15">
      <c r="A1836" s="86">
        <v>43844</v>
      </c>
      <c r="B1836" s="18">
        <v>116000</v>
      </c>
      <c r="C1836" s="14">
        <v>115500</v>
      </c>
      <c r="D1836" s="14">
        <v>117000</v>
      </c>
      <c r="E1836" s="14">
        <v>115500</v>
      </c>
      <c r="F1836" t="s">
        <v>1294</v>
      </c>
      <c r="G1836" s="15">
        <v>8.6999999999999994E-3</v>
      </c>
    </row>
    <row r="1837" spans="1:7" x14ac:dyDescent="0.15">
      <c r="A1837" s="86">
        <v>43843</v>
      </c>
      <c r="B1837" s="18">
        <v>115000</v>
      </c>
      <c r="C1837" s="14">
        <v>113500</v>
      </c>
      <c r="D1837" s="14">
        <v>115500</v>
      </c>
      <c r="E1837" s="14">
        <v>113000</v>
      </c>
      <c r="F1837" t="s">
        <v>1295</v>
      </c>
      <c r="G1837" s="15">
        <v>1.32E-2</v>
      </c>
    </row>
    <row r="1838" spans="1:7" x14ac:dyDescent="0.15">
      <c r="A1838" s="86">
        <v>43842</v>
      </c>
      <c r="B1838" s="18">
        <v>113500</v>
      </c>
      <c r="C1838" s="14">
        <v>113500</v>
      </c>
      <c r="D1838" s="14">
        <v>113500</v>
      </c>
      <c r="E1838" s="14">
        <v>113500</v>
      </c>
      <c r="G1838" s="15">
        <v>0</v>
      </c>
    </row>
    <row r="1839" spans="1:7" x14ac:dyDescent="0.15">
      <c r="A1839" s="86">
        <v>43840</v>
      </c>
      <c r="B1839" s="18">
        <v>113500</v>
      </c>
      <c r="C1839" s="14">
        <v>112500</v>
      </c>
      <c r="D1839" s="14">
        <v>114500</v>
      </c>
      <c r="E1839" s="14">
        <v>112000</v>
      </c>
      <c r="F1839" t="s">
        <v>1296</v>
      </c>
      <c r="G1839" s="15">
        <v>1.7899999999999999E-2</v>
      </c>
    </row>
    <row r="1840" spans="1:7" x14ac:dyDescent="0.15">
      <c r="A1840" s="86">
        <v>43839</v>
      </c>
      <c r="B1840" s="18">
        <v>111500</v>
      </c>
      <c r="C1840" s="14">
        <v>113000</v>
      </c>
      <c r="D1840" s="14">
        <v>114500</v>
      </c>
      <c r="E1840" s="14">
        <v>110000</v>
      </c>
      <c r="F1840" t="s">
        <v>886</v>
      </c>
      <c r="G1840" s="15">
        <v>-4.4999999999999997E-3</v>
      </c>
    </row>
    <row r="1841" spans="1:7" x14ac:dyDescent="0.15">
      <c r="A1841" s="86">
        <v>43838</v>
      </c>
      <c r="B1841" s="18">
        <v>112000</v>
      </c>
      <c r="C1841" s="14">
        <v>115000</v>
      </c>
      <c r="D1841" s="14">
        <v>115500</v>
      </c>
      <c r="E1841" s="14">
        <v>111500</v>
      </c>
      <c r="F1841" t="s">
        <v>380</v>
      </c>
      <c r="G1841" s="15">
        <v>-3.0300000000000001E-2</v>
      </c>
    </row>
    <row r="1842" spans="1:7" x14ac:dyDescent="0.15">
      <c r="A1842" s="86">
        <v>43837</v>
      </c>
      <c r="B1842" s="18">
        <v>115500</v>
      </c>
      <c r="C1842" s="14">
        <v>116500</v>
      </c>
      <c r="D1842" s="14">
        <v>117000</v>
      </c>
      <c r="E1842" s="14">
        <v>115500</v>
      </c>
      <c r="F1842" t="s">
        <v>1297</v>
      </c>
      <c r="G1842" s="15">
        <v>-4.3E-3</v>
      </c>
    </row>
    <row r="1843" spans="1:7" x14ac:dyDescent="0.15">
      <c r="A1843" s="86">
        <v>43836</v>
      </c>
      <c r="B1843" s="18">
        <v>116000</v>
      </c>
      <c r="C1843" s="14">
        <v>116000</v>
      </c>
      <c r="D1843" s="14">
        <v>117000</v>
      </c>
      <c r="E1843" s="14">
        <v>115500</v>
      </c>
      <c r="F1843" t="s">
        <v>1298</v>
      </c>
      <c r="G1843" s="15">
        <v>0</v>
      </c>
    </row>
    <row r="1844" spans="1:7" x14ac:dyDescent="0.15">
      <c r="A1844" s="86">
        <v>43835</v>
      </c>
      <c r="B1844" s="18">
        <v>116000</v>
      </c>
      <c r="C1844" s="14">
        <v>116000</v>
      </c>
      <c r="D1844" s="14">
        <v>116000</v>
      </c>
      <c r="E1844" s="14">
        <v>116000</v>
      </c>
      <c r="G1844" s="15">
        <v>0</v>
      </c>
    </row>
    <row r="1845" spans="1:7" x14ac:dyDescent="0.15">
      <c r="A1845" s="86">
        <v>43833</v>
      </c>
      <c r="B1845" s="18">
        <v>116000</v>
      </c>
      <c r="C1845" s="14">
        <v>118500</v>
      </c>
      <c r="D1845" s="14">
        <v>119000</v>
      </c>
      <c r="E1845" s="14">
        <v>115000</v>
      </c>
      <c r="F1845" t="s">
        <v>573</v>
      </c>
      <c r="G1845" s="15">
        <v>-1.6899999999999998E-2</v>
      </c>
    </row>
    <row r="1846" spans="1:7" x14ac:dyDescent="0.15">
      <c r="A1846" s="86">
        <v>43832</v>
      </c>
      <c r="B1846" s="18">
        <v>118000</v>
      </c>
      <c r="C1846" s="14">
        <v>121000</v>
      </c>
      <c r="D1846" s="14">
        <v>121000</v>
      </c>
      <c r="E1846" s="14">
        <v>118000</v>
      </c>
      <c r="F1846" t="s">
        <v>1299</v>
      </c>
      <c r="G1846" s="15">
        <v>-2.07E-2</v>
      </c>
    </row>
    <row r="1847" spans="1:7" x14ac:dyDescent="0.15">
      <c r="A1847" s="86">
        <v>43829</v>
      </c>
      <c r="B1847" s="18">
        <v>120500</v>
      </c>
      <c r="C1847" s="14">
        <v>120500</v>
      </c>
      <c r="D1847" s="14">
        <v>121500</v>
      </c>
      <c r="E1847" s="14">
        <v>120000</v>
      </c>
      <c r="F1847" t="s">
        <v>1300</v>
      </c>
      <c r="G1847" s="15">
        <v>0</v>
      </c>
    </row>
    <row r="1848" spans="1:7" x14ac:dyDescent="0.15">
      <c r="A1848" s="86">
        <v>43828</v>
      </c>
      <c r="B1848" s="18">
        <v>120500</v>
      </c>
      <c r="C1848" s="14">
        <v>120500</v>
      </c>
      <c r="D1848" s="14">
        <v>120500</v>
      </c>
      <c r="E1848" s="14">
        <v>120500</v>
      </c>
      <c r="G1848" s="15">
        <v>0</v>
      </c>
    </row>
    <row r="1849" spans="1:7" x14ac:dyDescent="0.15">
      <c r="A1849" s="86">
        <v>43826</v>
      </c>
      <c r="B1849" s="18">
        <v>120500</v>
      </c>
      <c r="C1849" s="14">
        <v>121000</v>
      </c>
      <c r="D1849" s="14">
        <v>121000</v>
      </c>
      <c r="E1849" s="14">
        <v>120000</v>
      </c>
      <c r="F1849" t="s">
        <v>1301</v>
      </c>
      <c r="G1849" s="15">
        <v>-1.6299999999999999E-2</v>
      </c>
    </row>
    <row r="1850" spans="1:7" x14ac:dyDescent="0.15">
      <c r="A1850" s="86">
        <v>43825</v>
      </c>
      <c r="B1850" s="18">
        <v>122500</v>
      </c>
      <c r="C1850" s="14">
        <v>122500</v>
      </c>
      <c r="D1850" s="14">
        <v>123000</v>
      </c>
      <c r="E1850" s="14">
        <v>121500</v>
      </c>
      <c r="F1850" t="s">
        <v>1302</v>
      </c>
      <c r="G1850" s="15">
        <v>4.1000000000000003E-3</v>
      </c>
    </row>
    <row r="1851" spans="1:7" x14ac:dyDescent="0.15">
      <c r="A1851" s="86">
        <v>43823</v>
      </c>
      <c r="B1851" s="18">
        <v>122000</v>
      </c>
      <c r="C1851" s="14">
        <v>123000</v>
      </c>
      <c r="D1851" s="14">
        <v>123000</v>
      </c>
      <c r="E1851" s="14">
        <v>121500</v>
      </c>
      <c r="F1851" t="s">
        <v>1303</v>
      </c>
      <c r="G1851" s="15">
        <v>-4.1000000000000003E-3</v>
      </c>
    </row>
    <row r="1852" spans="1:7" x14ac:dyDescent="0.15">
      <c r="A1852" s="86">
        <v>43822</v>
      </c>
      <c r="B1852" s="18">
        <v>122500</v>
      </c>
      <c r="C1852" s="14">
        <v>124000</v>
      </c>
      <c r="D1852" s="14">
        <v>125000</v>
      </c>
      <c r="E1852" s="14">
        <v>122000</v>
      </c>
      <c r="F1852" t="s">
        <v>1304</v>
      </c>
      <c r="G1852" s="15">
        <v>-1.21E-2</v>
      </c>
    </row>
    <row r="1853" spans="1:7" x14ac:dyDescent="0.15">
      <c r="A1853" s="86">
        <v>43821</v>
      </c>
      <c r="B1853" s="18">
        <v>124000</v>
      </c>
      <c r="C1853" s="14">
        <v>124000</v>
      </c>
      <c r="D1853" s="14">
        <v>124000</v>
      </c>
      <c r="E1853" s="14">
        <v>124000</v>
      </c>
      <c r="G1853" s="15">
        <v>0</v>
      </c>
    </row>
    <row r="1854" spans="1:7" x14ac:dyDescent="0.15">
      <c r="A1854" s="86">
        <v>43819</v>
      </c>
      <c r="B1854" s="18">
        <v>124000</v>
      </c>
      <c r="C1854" s="14">
        <v>124000</v>
      </c>
      <c r="D1854" s="14">
        <v>124000</v>
      </c>
      <c r="E1854" s="14">
        <v>122500</v>
      </c>
      <c r="F1854" t="s">
        <v>379</v>
      </c>
      <c r="G1854" s="15">
        <v>4.0000000000000001E-3</v>
      </c>
    </row>
    <row r="1855" spans="1:7" x14ac:dyDescent="0.15">
      <c r="A1855" s="86">
        <v>43818</v>
      </c>
      <c r="B1855" s="18">
        <v>123500</v>
      </c>
      <c r="C1855" s="14">
        <v>122500</v>
      </c>
      <c r="D1855" s="14">
        <v>123500</v>
      </c>
      <c r="E1855" s="14">
        <v>122000</v>
      </c>
      <c r="F1855" t="s">
        <v>1305</v>
      </c>
      <c r="G1855" s="15">
        <v>4.1000000000000003E-3</v>
      </c>
    </row>
    <row r="1856" spans="1:7" x14ac:dyDescent="0.15">
      <c r="A1856" s="86">
        <v>43817</v>
      </c>
      <c r="B1856" s="18">
        <v>123000</v>
      </c>
      <c r="C1856" s="14">
        <v>122000</v>
      </c>
      <c r="D1856" s="14">
        <v>123500</v>
      </c>
      <c r="E1856" s="14">
        <v>120500</v>
      </c>
      <c r="F1856" t="s">
        <v>106</v>
      </c>
      <c r="G1856" s="15">
        <v>8.2000000000000007E-3</v>
      </c>
    </row>
    <row r="1857" spans="1:7" x14ac:dyDescent="0.15">
      <c r="A1857" s="86">
        <v>43816</v>
      </c>
      <c r="B1857" s="18">
        <v>122000</v>
      </c>
      <c r="C1857" s="14">
        <v>119500</v>
      </c>
      <c r="D1857" s="14">
        <v>123000</v>
      </c>
      <c r="E1857" s="14">
        <v>119000</v>
      </c>
      <c r="F1857" t="s">
        <v>372</v>
      </c>
      <c r="G1857" s="15">
        <v>2.52E-2</v>
      </c>
    </row>
    <row r="1858" spans="1:7" x14ac:dyDescent="0.15">
      <c r="A1858" s="86">
        <v>43815</v>
      </c>
      <c r="B1858" s="18">
        <v>119000</v>
      </c>
      <c r="C1858" s="14">
        <v>120500</v>
      </c>
      <c r="D1858" s="14">
        <v>121000</v>
      </c>
      <c r="E1858" s="14">
        <v>119000</v>
      </c>
      <c r="F1858" t="s">
        <v>1306</v>
      </c>
      <c r="G1858" s="15">
        <v>-1.6500000000000001E-2</v>
      </c>
    </row>
    <row r="1859" spans="1:7" x14ac:dyDescent="0.15">
      <c r="A1859" s="86">
        <v>43814</v>
      </c>
      <c r="B1859" s="18">
        <v>121000</v>
      </c>
      <c r="C1859" s="14">
        <v>121000</v>
      </c>
      <c r="D1859" s="14">
        <v>121000</v>
      </c>
      <c r="E1859" s="14">
        <v>121000</v>
      </c>
      <c r="G1859" s="15">
        <v>0</v>
      </c>
    </row>
    <row r="1860" spans="1:7" x14ac:dyDescent="0.15">
      <c r="A1860" s="86">
        <v>43812</v>
      </c>
      <c r="B1860" s="18">
        <v>121000</v>
      </c>
      <c r="C1860" s="14">
        <v>121500</v>
      </c>
      <c r="D1860" s="14">
        <v>122500</v>
      </c>
      <c r="E1860" s="14">
        <v>119500</v>
      </c>
      <c r="F1860" t="s">
        <v>1307</v>
      </c>
      <c r="G1860" s="15">
        <v>8.3000000000000001E-3</v>
      </c>
    </row>
    <row r="1861" spans="1:7" x14ac:dyDescent="0.15">
      <c r="A1861" s="86">
        <v>43811</v>
      </c>
      <c r="B1861" s="18">
        <v>120000</v>
      </c>
      <c r="C1861" s="14">
        <v>119500</v>
      </c>
      <c r="D1861" s="14">
        <v>120500</v>
      </c>
      <c r="E1861" s="14">
        <v>119000</v>
      </c>
      <c r="F1861" t="s">
        <v>128</v>
      </c>
      <c r="G1861" s="15">
        <v>8.3999999999999995E-3</v>
      </c>
    </row>
    <row r="1862" spans="1:7" x14ac:dyDescent="0.15">
      <c r="A1862" s="86">
        <v>43810</v>
      </c>
      <c r="B1862" s="18">
        <v>119000</v>
      </c>
      <c r="C1862" s="14">
        <v>120500</v>
      </c>
      <c r="D1862" s="14">
        <v>120500</v>
      </c>
      <c r="E1862" s="14">
        <v>119000</v>
      </c>
      <c r="F1862" t="s">
        <v>556</v>
      </c>
      <c r="G1862" s="15">
        <v>-8.3000000000000001E-3</v>
      </c>
    </row>
    <row r="1863" spans="1:7" x14ac:dyDescent="0.15">
      <c r="A1863" s="86">
        <v>43809</v>
      </c>
      <c r="B1863" s="18">
        <v>120000</v>
      </c>
      <c r="C1863" s="14">
        <v>119500</v>
      </c>
      <c r="D1863" s="14">
        <v>120500</v>
      </c>
      <c r="E1863" s="14">
        <v>119000</v>
      </c>
      <c r="F1863" t="s">
        <v>1308</v>
      </c>
      <c r="G1863" s="15">
        <v>4.1999999999999997E-3</v>
      </c>
    </row>
    <row r="1864" spans="1:7" x14ac:dyDescent="0.15">
      <c r="A1864" s="86">
        <v>43808</v>
      </c>
      <c r="B1864" s="18">
        <v>119500</v>
      </c>
      <c r="C1864" s="14">
        <v>119500</v>
      </c>
      <c r="D1864" s="14">
        <v>120500</v>
      </c>
      <c r="E1864" s="14">
        <v>119000</v>
      </c>
      <c r="F1864" t="s">
        <v>1309</v>
      </c>
      <c r="G1864" s="15">
        <v>8.3999999999999995E-3</v>
      </c>
    </row>
    <row r="1865" spans="1:7" x14ac:dyDescent="0.15">
      <c r="A1865" s="86">
        <v>43805</v>
      </c>
      <c r="B1865" s="18">
        <v>118500</v>
      </c>
      <c r="C1865" s="14">
        <v>118500</v>
      </c>
      <c r="D1865" s="14">
        <v>119500</v>
      </c>
      <c r="E1865" s="14">
        <v>118000</v>
      </c>
      <c r="F1865" t="s">
        <v>1310</v>
      </c>
      <c r="G1865" s="15">
        <v>4.1999999999999997E-3</v>
      </c>
    </row>
    <row r="1866" spans="1:7" x14ac:dyDescent="0.15">
      <c r="A1866" s="86">
        <v>43804</v>
      </c>
      <c r="B1866" s="18">
        <v>118000</v>
      </c>
      <c r="C1866" s="14">
        <v>121500</v>
      </c>
      <c r="D1866" s="14">
        <v>122500</v>
      </c>
      <c r="E1866" s="14">
        <v>117500</v>
      </c>
      <c r="F1866" t="s">
        <v>338</v>
      </c>
      <c r="G1866" s="15">
        <v>-3.2800000000000003E-2</v>
      </c>
    </row>
    <row r="1867" spans="1:7" x14ac:dyDescent="0.15">
      <c r="A1867" s="86">
        <v>43803</v>
      </c>
      <c r="B1867" s="18">
        <v>122000</v>
      </c>
      <c r="C1867" s="14">
        <v>120000</v>
      </c>
      <c r="D1867" s="14">
        <v>124000</v>
      </c>
      <c r="E1867" s="14">
        <v>120000</v>
      </c>
      <c r="F1867" t="s">
        <v>93</v>
      </c>
      <c r="G1867" s="15">
        <v>4.1000000000000003E-3</v>
      </c>
    </row>
    <row r="1868" spans="1:7" x14ac:dyDescent="0.15">
      <c r="A1868" s="86">
        <v>43802</v>
      </c>
      <c r="B1868" s="18">
        <v>121500</v>
      </c>
      <c r="C1868" s="14">
        <v>120000</v>
      </c>
      <c r="D1868" s="14">
        <v>121500</v>
      </c>
      <c r="E1868" s="14">
        <v>119000</v>
      </c>
      <c r="F1868" t="s">
        <v>1311</v>
      </c>
      <c r="G1868" s="15">
        <v>0</v>
      </c>
    </row>
    <row r="1869" spans="1:7" x14ac:dyDescent="0.15">
      <c r="A1869" s="86">
        <v>43801</v>
      </c>
      <c r="B1869" s="18">
        <v>121500</v>
      </c>
      <c r="C1869" s="14">
        <v>121000</v>
      </c>
      <c r="D1869" s="14">
        <v>121500</v>
      </c>
      <c r="E1869" s="14">
        <v>118500</v>
      </c>
      <c r="F1869" t="s">
        <v>1312</v>
      </c>
      <c r="G1869" s="15">
        <v>4.1000000000000003E-3</v>
      </c>
    </row>
    <row r="1870" spans="1:7" x14ac:dyDescent="0.15">
      <c r="A1870" s="86">
        <v>43798</v>
      </c>
      <c r="B1870" s="18">
        <v>121000</v>
      </c>
      <c r="C1870" s="14">
        <v>123500</v>
      </c>
      <c r="D1870" s="14">
        <v>124500</v>
      </c>
      <c r="E1870" s="14">
        <v>120000</v>
      </c>
      <c r="F1870" t="s">
        <v>502</v>
      </c>
      <c r="G1870" s="15">
        <v>-2.4199999999999999E-2</v>
      </c>
    </row>
    <row r="1871" spans="1:7" x14ac:dyDescent="0.15">
      <c r="A1871" s="86">
        <v>43797</v>
      </c>
      <c r="B1871" s="18">
        <v>124000</v>
      </c>
      <c r="C1871" s="14">
        <v>123500</v>
      </c>
      <c r="D1871" s="14">
        <v>125000</v>
      </c>
      <c r="E1871" s="14">
        <v>123000</v>
      </c>
      <c r="F1871" t="s">
        <v>1313</v>
      </c>
      <c r="G1871" s="15">
        <v>4.0000000000000001E-3</v>
      </c>
    </row>
    <row r="1872" spans="1:7" x14ac:dyDescent="0.15">
      <c r="A1872" s="86">
        <v>43796</v>
      </c>
      <c r="B1872" s="18">
        <v>123500</v>
      </c>
      <c r="C1872" s="14">
        <v>123000</v>
      </c>
      <c r="D1872" s="14">
        <v>124000</v>
      </c>
      <c r="E1872" s="14">
        <v>123000</v>
      </c>
      <c r="F1872" t="s">
        <v>1314</v>
      </c>
      <c r="G1872" s="15">
        <v>8.2000000000000007E-3</v>
      </c>
    </row>
    <row r="1873" spans="1:7" x14ac:dyDescent="0.15">
      <c r="A1873" s="86">
        <v>43795</v>
      </c>
      <c r="B1873" s="18">
        <v>122500</v>
      </c>
      <c r="C1873" s="14">
        <v>124500</v>
      </c>
      <c r="D1873" s="14">
        <v>125500</v>
      </c>
      <c r="E1873" s="14">
        <v>122500</v>
      </c>
      <c r="F1873" t="s">
        <v>195</v>
      </c>
      <c r="G1873" s="15">
        <v>-0.02</v>
      </c>
    </row>
    <row r="1874" spans="1:7" x14ac:dyDescent="0.15">
      <c r="A1874" s="86">
        <v>43794</v>
      </c>
      <c r="B1874" s="18">
        <v>125000</v>
      </c>
      <c r="C1874" s="14">
        <v>124000</v>
      </c>
      <c r="D1874" s="14">
        <v>125500</v>
      </c>
      <c r="E1874" s="14">
        <v>123500</v>
      </c>
      <c r="F1874" t="s">
        <v>1315</v>
      </c>
      <c r="G1874" s="15">
        <v>1.21E-2</v>
      </c>
    </row>
    <row r="1875" spans="1:7" x14ac:dyDescent="0.15">
      <c r="A1875" s="86">
        <v>43791</v>
      </c>
      <c r="B1875" s="18">
        <v>123500</v>
      </c>
      <c r="C1875" s="14">
        <v>124000</v>
      </c>
      <c r="D1875" s="14">
        <v>125500</v>
      </c>
      <c r="E1875" s="14">
        <v>123500</v>
      </c>
      <c r="F1875" t="s">
        <v>1316</v>
      </c>
      <c r="G1875" s="15">
        <v>-8.0000000000000002E-3</v>
      </c>
    </row>
    <row r="1876" spans="1:7" x14ac:dyDescent="0.15">
      <c r="A1876" s="86">
        <v>43790</v>
      </c>
      <c r="B1876" s="18">
        <v>124500</v>
      </c>
      <c r="C1876" s="14">
        <v>124000</v>
      </c>
      <c r="D1876" s="14">
        <v>124500</v>
      </c>
      <c r="E1876" s="14">
        <v>123000</v>
      </c>
      <c r="F1876" t="s">
        <v>1317</v>
      </c>
      <c r="G1876" s="15">
        <v>0</v>
      </c>
    </row>
    <row r="1877" spans="1:7" x14ac:dyDescent="0.15">
      <c r="A1877" s="86">
        <v>43789</v>
      </c>
      <c r="B1877" s="18">
        <v>124500</v>
      </c>
      <c r="C1877" s="14">
        <v>124500</v>
      </c>
      <c r="D1877" s="14">
        <v>124500</v>
      </c>
      <c r="E1877" s="14">
        <v>123500</v>
      </c>
      <c r="F1877" t="s">
        <v>1318</v>
      </c>
      <c r="G1877" s="15">
        <v>-4.0000000000000001E-3</v>
      </c>
    </row>
    <row r="1878" spans="1:7" x14ac:dyDescent="0.15">
      <c r="A1878" s="86">
        <v>43788</v>
      </c>
      <c r="B1878" s="18">
        <v>125000</v>
      </c>
      <c r="C1878" s="14">
        <v>125000</v>
      </c>
      <c r="D1878" s="14">
        <v>126000</v>
      </c>
      <c r="E1878" s="14">
        <v>124500</v>
      </c>
      <c r="F1878" t="s">
        <v>1319</v>
      </c>
      <c r="G1878" s="15">
        <v>-7.9000000000000008E-3</v>
      </c>
    </row>
    <row r="1879" spans="1:7" x14ac:dyDescent="0.15">
      <c r="A1879" s="86">
        <v>43787</v>
      </c>
      <c r="B1879" s="18">
        <v>126000</v>
      </c>
      <c r="C1879" s="14">
        <v>125000</v>
      </c>
      <c r="D1879" s="14">
        <v>126000</v>
      </c>
      <c r="E1879" s="14">
        <v>124500</v>
      </c>
      <c r="F1879" t="s">
        <v>1320</v>
      </c>
      <c r="G1879" s="15">
        <v>4.0000000000000001E-3</v>
      </c>
    </row>
    <row r="1880" spans="1:7" x14ac:dyDescent="0.15">
      <c r="A1880" s="86">
        <v>43786</v>
      </c>
      <c r="B1880" s="18">
        <v>125500</v>
      </c>
      <c r="C1880" s="14">
        <v>125500</v>
      </c>
      <c r="D1880" s="14">
        <v>125500</v>
      </c>
      <c r="E1880" s="14">
        <v>125500</v>
      </c>
      <c r="G1880" s="15">
        <v>0</v>
      </c>
    </row>
    <row r="1881" spans="1:7" x14ac:dyDescent="0.15">
      <c r="A1881" s="86">
        <v>43784</v>
      </c>
      <c r="B1881" s="18">
        <v>125500</v>
      </c>
      <c r="C1881" s="14">
        <v>124500</v>
      </c>
      <c r="D1881" s="14">
        <v>125500</v>
      </c>
      <c r="E1881" s="14">
        <v>124000</v>
      </c>
      <c r="F1881" t="s">
        <v>1321</v>
      </c>
      <c r="G1881" s="15">
        <v>8.0000000000000002E-3</v>
      </c>
    </row>
    <row r="1882" spans="1:7" x14ac:dyDescent="0.15">
      <c r="A1882" s="86">
        <v>43783</v>
      </c>
      <c r="B1882" s="18">
        <v>124500</v>
      </c>
      <c r="C1882" s="14">
        <v>125000</v>
      </c>
      <c r="D1882" s="14">
        <v>125000</v>
      </c>
      <c r="E1882" s="14">
        <v>124000</v>
      </c>
      <c r="F1882" t="s">
        <v>1322</v>
      </c>
      <c r="G1882" s="15">
        <v>0</v>
      </c>
    </row>
    <row r="1883" spans="1:7" x14ac:dyDescent="0.15">
      <c r="A1883" s="86">
        <v>43782</v>
      </c>
      <c r="B1883" s="18">
        <v>124500</v>
      </c>
      <c r="C1883" s="14">
        <v>125000</v>
      </c>
      <c r="D1883" s="14">
        <v>126000</v>
      </c>
      <c r="E1883" s="14">
        <v>124500</v>
      </c>
      <c r="F1883" t="s">
        <v>1323</v>
      </c>
      <c r="G1883" s="15">
        <v>-8.0000000000000002E-3</v>
      </c>
    </row>
    <row r="1884" spans="1:7" x14ac:dyDescent="0.15">
      <c r="A1884" s="86">
        <v>43781</v>
      </c>
      <c r="B1884" s="18">
        <v>125500</v>
      </c>
      <c r="C1884" s="14">
        <v>123500</v>
      </c>
      <c r="D1884" s="14">
        <v>125500</v>
      </c>
      <c r="E1884" s="14">
        <v>123500</v>
      </c>
      <c r="F1884" t="s">
        <v>1324</v>
      </c>
      <c r="G1884" s="15">
        <v>1.6199999999999999E-2</v>
      </c>
    </row>
    <row r="1885" spans="1:7" x14ac:dyDescent="0.15">
      <c r="A1885" s="86">
        <v>43780</v>
      </c>
      <c r="B1885" s="18">
        <v>123500</v>
      </c>
      <c r="C1885" s="14">
        <v>124000</v>
      </c>
      <c r="D1885" s="14">
        <v>124500</v>
      </c>
      <c r="E1885" s="14">
        <v>123500</v>
      </c>
      <c r="F1885" t="s">
        <v>1325</v>
      </c>
      <c r="G1885" s="15">
        <v>-4.0000000000000001E-3</v>
      </c>
    </row>
    <row r="1886" spans="1:7" x14ac:dyDescent="0.15">
      <c r="A1886" s="86">
        <v>43779</v>
      </c>
      <c r="B1886" s="18">
        <v>124000</v>
      </c>
      <c r="C1886" s="14">
        <v>124000</v>
      </c>
      <c r="D1886" s="14">
        <v>124000</v>
      </c>
      <c r="E1886" s="14">
        <v>124000</v>
      </c>
      <c r="G1886" s="15">
        <v>0</v>
      </c>
    </row>
    <row r="1887" spans="1:7" x14ac:dyDescent="0.15">
      <c r="A1887" s="86">
        <v>43777</v>
      </c>
      <c r="B1887" s="18">
        <v>124000</v>
      </c>
      <c r="C1887" s="14">
        <v>124000</v>
      </c>
      <c r="D1887" s="14">
        <v>124500</v>
      </c>
      <c r="E1887" s="14">
        <v>123500</v>
      </c>
      <c r="F1887" t="s">
        <v>1326</v>
      </c>
      <c r="G1887" s="15">
        <v>4.0000000000000001E-3</v>
      </c>
    </row>
    <row r="1888" spans="1:7" x14ac:dyDescent="0.15">
      <c r="A1888" s="86">
        <v>43776</v>
      </c>
      <c r="B1888" s="18">
        <v>123500</v>
      </c>
      <c r="C1888" s="14">
        <v>123500</v>
      </c>
      <c r="D1888" s="14">
        <v>124500</v>
      </c>
      <c r="E1888" s="14">
        <v>123000</v>
      </c>
      <c r="F1888" t="s">
        <v>1327</v>
      </c>
      <c r="G1888" s="15">
        <v>0</v>
      </c>
    </row>
    <row r="1889" spans="1:7" x14ac:dyDescent="0.15">
      <c r="A1889" s="86">
        <v>43775</v>
      </c>
      <c r="B1889" s="18">
        <v>123500</v>
      </c>
      <c r="C1889" s="14">
        <v>125500</v>
      </c>
      <c r="D1889" s="14">
        <v>126000</v>
      </c>
      <c r="E1889" s="14">
        <v>123500</v>
      </c>
      <c r="F1889" t="s">
        <v>1328</v>
      </c>
      <c r="G1889" s="15">
        <v>-1.2E-2</v>
      </c>
    </row>
    <row r="1890" spans="1:7" x14ac:dyDescent="0.15">
      <c r="A1890" s="86">
        <v>43774</v>
      </c>
      <c r="B1890" s="18">
        <v>125000</v>
      </c>
      <c r="C1890" s="14">
        <v>124000</v>
      </c>
      <c r="D1890" s="14">
        <v>125500</v>
      </c>
      <c r="E1890" s="14">
        <v>124000</v>
      </c>
      <c r="F1890" t="s">
        <v>1329</v>
      </c>
      <c r="G1890" s="15">
        <v>8.0999999999999996E-3</v>
      </c>
    </row>
    <row r="1891" spans="1:7" x14ac:dyDescent="0.15">
      <c r="A1891" s="86">
        <v>43773</v>
      </c>
      <c r="B1891" s="18">
        <v>124000</v>
      </c>
      <c r="C1891" s="14">
        <v>123500</v>
      </c>
      <c r="D1891" s="14">
        <v>125000</v>
      </c>
      <c r="E1891" s="14">
        <v>123000</v>
      </c>
      <c r="F1891" t="s">
        <v>1330</v>
      </c>
      <c r="G1891" s="15">
        <v>0</v>
      </c>
    </row>
    <row r="1892" spans="1:7" x14ac:dyDescent="0.15">
      <c r="A1892" s="86">
        <v>43772</v>
      </c>
      <c r="B1892" s="18">
        <v>124000</v>
      </c>
      <c r="C1892" s="14">
        <v>124000</v>
      </c>
      <c r="D1892" s="14">
        <v>124000</v>
      </c>
      <c r="E1892" s="14">
        <v>124000</v>
      </c>
      <c r="G1892" s="15">
        <v>0</v>
      </c>
    </row>
    <row r="1893" spans="1:7" x14ac:dyDescent="0.15">
      <c r="A1893" s="86">
        <v>43770</v>
      </c>
      <c r="B1893" s="18">
        <v>124000</v>
      </c>
      <c r="C1893" s="14">
        <v>121500</v>
      </c>
      <c r="D1893" s="14">
        <v>124000</v>
      </c>
      <c r="E1893" s="14">
        <v>121000</v>
      </c>
      <c r="F1893" t="s">
        <v>1331</v>
      </c>
      <c r="G1893" s="15">
        <v>1.6400000000000001E-2</v>
      </c>
    </row>
    <row r="1894" spans="1:7" x14ac:dyDescent="0.15">
      <c r="A1894" s="86">
        <v>43769</v>
      </c>
      <c r="B1894" s="18">
        <v>122000</v>
      </c>
      <c r="C1894" s="14">
        <v>122500</v>
      </c>
      <c r="D1894" s="14">
        <v>123500</v>
      </c>
      <c r="E1894" s="14">
        <v>121500</v>
      </c>
      <c r="F1894" t="s">
        <v>1332</v>
      </c>
      <c r="G1894" s="15">
        <v>-4.1000000000000003E-3</v>
      </c>
    </row>
    <row r="1895" spans="1:7" x14ac:dyDescent="0.15">
      <c r="A1895" s="86">
        <v>43768</v>
      </c>
      <c r="B1895" s="18">
        <v>122500</v>
      </c>
      <c r="C1895" s="14">
        <v>122500</v>
      </c>
      <c r="D1895" s="14">
        <v>123000</v>
      </c>
      <c r="E1895" s="14">
        <v>121500</v>
      </c>
      <c r="F1895" t="s">
        <v>1333</v>
      </c>
      <c r="G1895" s="15">
        <v>0</v>
      </c>
    </row>
    <row r="1896" spans="1:7" x14ac:dyDescent="0.15">
      <c r="A1896" s="86">
        <v>43767</v>
      </c>
      <c r="B1896" s="18">
        <v>122500</v>
      </c>
      <c r="C1896" s="14">
        <v>122000</v>
      </c>
      <c r="D1896" s="14">
        <v>123000</v>
      </c>
      <c r="E1896" s="14">
        <v>121500</v>
      </c>
      <c r="F1896" t="s">
        <v>1334</v>
      </c>
      <c r="G1896" s="15">
        <v>8.2000000000000007E-3</v>
      </c>
    </row>
    <row r="1897" spans="1:7" x14ac:dyDescent="0.15">
      <c r="A1897" s="86">
        <v>43766</v>
      </c>
      <c r="B1897" s="18">
        <v>121500</v>
      </c>
      <c r="C1897" s="14">
        <v>124500</v>
      </c>
      <c r="D1897" s="14">
        <v>125000</v>
      </c>
      <c r="E1897" s="14">
        <v>121500</v>
      </c>
      <c r="F1897" t="s">
        <v>1335</v>
      </c>
      <c r="G1897" s="15">
        <v>-1.6199999999999999E-2</v>
      </c>
    </row>
    <row r="1898" spans="1:7" x14ac:dyDescent="0.15">
      <c r="A1898" s="86">
        <v>43763</v>
      </c>
      <c r="B1898" s="18">
        <v>123500</v>
      </c>
      <c r="C1898" s="14">
        <v>122000</v>
      </c>
      <c r="D1898" s="14">
        <v>124000</v>
      </c>
      <c r="E1898" s="14">
        <v>121500</v>
      </c>
      <c r="F1898" t="s">
        <v>1336</v>
      </c>
      <c r="G1898" s="15">
        <v>1.23E-2</v>
      </c>
    </row>
    <row r="1899" spans="1:7" x14ac:dyDescent="0.15">
      <c r="A1899" s="86">
        <v>43762</v>
      </c>
      <c r="B1899" s="18">
        <v>122000</v>
      </c>
      <c r="C1899" s="14">
        <v>121000</v>
      </c>
      <c r="D1899" s="14">
        <v>122500</v>
      </c>
      <c r="E1899" s="14">
        <v>120000</v>
      </c>
      <c r="F1899" t="s">
        <v>1337</v>
      </c>
      <c r="G1899" s="15">
        <v>8.3000000000000001E-3</v>
      </c>
    </row>
    <row r="1900" spans="1:7" x14ac:dyDescent="0.15">
      <c r="A1900" s="86">
        <v>43761</v>
      </c>
      <c r="B1900" s="18">
        <v>121000</v>
      </c>
      <c r="C1900" s="14">
        <v>121500</v>
      </c>
      <c r="D1900" s="14">
        <v>122500</v>
      </c>
      <c r="E1900" s="14">
        <v>120500</v>
      </c>
      <c r="F1900" t="s">
        <v>1338</v>
      </c>
      <c r="G1900" s="15">
        <v>-8.2000000000000007E-3</v>
      </c>
    </row>
    <row r="1901" spans="1:7" x14ac:dyDescent="0.15">
      <c r="A1901" s="86">
        <v>43760</v>
      </c>
      <c r="B1901" s="18">
        <v>122000</v>
      </c>
      <c r="C1901" s="14">
        <v>121500</v>
      </c>
      <c r="D1901" s="14">
        <v>122500</v>
      </c>
      <c r="E1901" s="14">
        <v>120000</v>
      </c>
      <c r="F1901" t="s">
        <v>1339</v>
      </c>
      <c r="G1901" s="15">
        <v>0</v>
      </c>
    </row>
    <row r="1902" spans="1:7" x14ac:dyDescent="0.15">
      <c r="A1902" s="86">
        <v>43759</v>
      </c>
      <c r="B1902" s="18">
        <v>122000</v>
      </c>
      <c r="C1902" s="14">
        <v>124000</v>
      </c>
      <c r="D1902" s="14">
        <v>124000</v>
      </c>
      <c r="E1902" s="14">
        <v>122000</v>
      </c>
      <c r="F1902" t="s">
        <v>1340</v>
      </c>
      <c r="G1902" s="15">
        <v>-8.0999999999999996E-3</v>
      </c>
    </row>
    <row r="1903" spans="1:7" x14ac:dyDescent="0.15">
      <c r="A1903" s="86">
        <v>43758</v>
      </c>
      <c r="B1903" s="18">
        <v>123000</v>
      </c>
      <c r="C1903" s="14">
        <v>123000</v>
      </c>
      <c r="D1903" s="14">
        <v>123000</v>
      </c>
      <c r="E1903" s="14">
        <v>123000</v>
      </c>
      <c r="G1903" s="15">
        <v>0</v>
      </c>
    </row>
    <row r="1904" spans="1:7" x14ac:dyDescent="0.15">
      <c r="A1904" s="86">
        <v>43756</v>
      </c>
      <c r="B1904" s="18">
        <v>123000</v>
      </c>
      <c r="C1904" s="14">
        <v>123500</v>
      </c>
      <c r="D1904" s="14">
        <v>124500</v>
      </c>
      <c r="E1904" s="14">
        <v>122500</v>
      </c>
      <c r="F1904" t="s">
        <v>1341</v>
      </c>
      <c r="G1904" s="15">
        <v>0</v>
      </c>
    </row>
    <row r="1905" spans="1:7" x14ac:dyDescent="0.15">
      <c r="A1905" s="86">
        <v>43755</v>
      </c>
      <c r="B1905" s="18">
        <v>123000</v>
      </c>
      <c r="C1905" s="14">
        <v>123000</v>
      </c>
      <c r="D1905" s="14">
        <v>124500</v>
      </c>
      <c r="E1905" s="14">
        <v>122000</v>
      </c>
      <c r="F1905" t="s">
        <v>1342</v>
      </c>
      <c r="G1905" s="15">
        <v>0</v>
      </c>
    </row>
    <row r="1906" spans="1:7" x14ac:dyDescent="0.15">
      <c r="A1906" s="86">
        <v>43754</v>
      </c>
      <c r="B1906" s="18">
        <v>123000</v>
      </c>
      <c r="C1906" s="14">
        <v>123000</v>
      </c>
      <c r="D1906" s="14">
        <v>124000</v>
      </c>
      <c r="E1906" s="14">
        <v>122000</v>
      </c>
      <c r="F1906" t="s">
        <v>1343</v>
      </c>
      <c r="G1906" s="15">
        <v>8.2000000000000007E-3</v>
      </c>
    </row>
    <row r="1907" spans="1:7" x14ac:dyDescent="0.15">
      <c r="A1907" s="86">
        <v>43753</v>
      </c>
      <c r="B1907" s="18">
        <v>122000</v>
      </c>
      <c r="C1907" s="14">
        <v>122000</v>
      </c>
      <c r="D1907" s="14">
        <v>123000</v>
      </c>
      <c r="E1907" s="14">
        <v>120500</v>
      </c>
      <c r="F1907" t="s">
        <v>1344</v>
      </c>
      <c r="G1907" s="15">
        <v>0</v>
      </c>
    </row>
    <row r="1908" spans="1:7" x14ac:dyDescent="0.15">
      <c r="A1908" s="86">
        <v>43752</v>
      </c>
      <c r="B1908" s="18">
        <v>122000</v>
      </c>
      <c r="C1908" s="14">
        <v>125000</v>
      </c>
      <c r="D1908" s="14">
        <v>126000</v>
      </c>
      <c r="E1908" s="14">
        <v>122000</v>
      </c>
      <c r="F1908" t="s">
        <v>226</v>
      </c>
      <c r="G1908" s="15">
        <v>-3.1699999999999999E-2</v>
      </c>
    </row>
    <row r="1909" spans="1:7" x14ac:dyDescent="0.15">
      <c r="A1909" s="86">
        <v>43751</v>
      </c>
      <c r="B1909" s="18">
        <v>126000</v>
      </c>
      <c r="C1909" s="14">
        <v>126000</v>
      </c>
      <c r="D1909" s="14">
        <v>126000</v>
      </c>
      <c r="E1909" s="14">
        <v>126000</v>
      </c>
      <c r="G1909" s="15">
        <v>0</v>
      </c>
    </row>
    <row r="1910" spans="1:7" x14ac:dyDescent="0.15">
      <c r="A1910" s="86">
        <v>43749</v>
      </c>
      <c r="B1910" s="18">
        <v>126000</v>
      </c>
      <c r="C1910" s="14">
        <v>127000</v>
      </c>
      <c r="D1910" s="14">
        <v>127500</v>
      </c>
      <c r="E1910" s="14">
        <v>126000</v>
      </c>
      <c r="F1910" t="s">
        <v>1345</v>
      </c>
      <c r="G1910" s="15">
        <v>-4.0000000000000001E-3</v>
      </c>
    </row>
    <row r="1911" spans="1:7" x14ac:dyDescent="0.15">
      <c r="A1911" s="86">
        <v>43748</v>
      </c>
      <c r="B1911" s="18">
        <v>126500</v>
      </c>
      <c r="C1911" s="14">
        <v>127000</v>
      </c>
      <c r="D1911" s="14">
        <v>128000</v>
      </c>
      <c r="E1911" s="14">
        <v>125500</v>
      </c>
      <c r="F1911" t="s">
        <v>1346</v>
      </c>
      <c r="G1911" s="15">
        <v>-2.3199999999999998E-2</v>
      </c>
    </row>
    <row r="1912" spans="1:7" x14ac:dyDescent="0.15">
      <c r="A1912" s="86">
        <v>43747</v>
      </c>
      <c r="B1912" s="18">
        <v>129500</v>
      </c>
      <c r="C1912" s="14">
        <v>129500</v>
      </c>
      <c r="D1912" s="14">
        <v>129500</v>
      </c>
      <c r="E1912" s="14">
        <v>129500</v>
      </c>
      <c r="G1912" s="15">
        <v>0</v>
      </c>
    </row>
    <row r="1913" spans="1:7" x14ac:dyDescent="0.15">
      <c r="A1913" s="86">
        <v>43746</v>
      </c>
      <c r="B1913" s="18">
        <v>129500</v>
      </c>
      <c r="C1913" s="14">
        <v>128000</v>
      </c>
      <c r="D1913" s="14">
        <v>130500</v>
      </c>
      <c r="E1913" s="14">
        <v>127500</v>
      </c>
      <c r="F1913" t="s">
        <v>1347</v>
      </c>
      <c r="G1913" s="15">
        <v>1.17E-2</v>
      </c>
    </row>
    <row r="1914" spans="1:7" x14ac:dyDescent="0.15">
      <c r="A1914" s="86">
        <v>43745</v>
      </c>
      <c r="B1914" s="18">
        <v>128000</v>
      </c>
      <c r="C1914" s="14">
        <v>128000</v>
      </c>
      <c r="D1914" s="14">
        <v>129000</v>
      </c>
      <c r="E1914" s="14">
        <v>127000</v>
      </c>
      <c r="F1914" t="s">
        <v>1348</v>
      </c>
      <c r="G1914" s="15">
        <v>1.1900000000000001E-2</v>
      </c>
    </row>
    <row r="1915" spans="1:7" x14ac:dyDescent="0.15">
      <c r="A1915" s="86">
        <v>43744</v>
      </c>
      <c r="B1915" s="18">
        <v>126500</v>
      </c>
      <c r="C1915" s="14">
        <v>126500</v>
      </c>
      <c r="D1915" s="14">
        <v>126500</v>
      </c>
      <c r="E1915" s="14">
        <v>126500</v>
      </c>
      <c r="G1915" s="15">
        <v>0</v>
      </c>
    </row>
    <row r="1916" spans="1:7" x14ac:dyDescent="0.15">
      <c r="A1916" s="86">
        <v>43742</v>
      </c>
      <c r="B1916" s="18">
        <v>126500</v>
      </c>
      <c r="C1916" s="14">
        <v>129500</v>
      </c>
      <c r="D1916" s="14">
        <v>130000</v>
      </c>
      <c r="E1916" s="14">
        <v>126500</v>
      </c>
      <c r="F1916" t="s">
        <v>1349</v>
      </c>
      <c r="G1916" s="15">
        <v>-1.5599999999999999E-2</v>
      </c>
    </row>
    <row r="1917" spans="1:7" x14ac:dyDescent="0.15">
      <c r="A1917" s="86">
        <v>43741</v>
      </c>
      <c r="B1917" s="18">
        <v>128500</v>
      </c>
      <c r="C1917" s="14">
        <v>128500</v>
      </c>
      <c r="D1917" s="14">
        <v>128500</v>
      </c>
      <c r="E1917" s="14">
        <v>128500</v>
      </c>
      <c r="G1917" s="15">
        <v>0</v>
      </c>
    </row>
    <row r="1918" spans="1:7" x14ac:dyDescent="0.15">
      <c r="A1918" s="86">
        <v>43740</v>
      </c>
      <c r="B1918" s="18">
        <v>128500</v>
      </c>
      <c r="C1918" s="14">
        <v>131000</v>
      </c>
      <c r="D1918" s="14">
        <v>131500</v>
      </c>
      <c r="E1918" s="14">
        <v>128000</v>
      </c>
      <c r="F1918" t="s">
        <v>1350</v>
      </c>
      <c r="G1918" s="15">
        <v>-3.0200000000000001E-2</v>
      </c>
    </row>
    <row r="1919" spans="1:7" x14ac:dyDescent="0.15">
      <c r="A1919" s="86">
        <v>43739</v>
      </c>
      <c r="B1919" s="18">
        <v>132500</v>
      </c>
      <c r="C1919" s="14">
        <v>134000</v>
      </c>
      <c r="D1919" s="14">
        <v>134000</v>
      </c>
      <c r="E1919" s="14">
        <v>131500</v>
      </c>
      <c r="F1919" t="s">
        <v>1351</v>
      </c>
      <c r="G1919" s="15">
        <v>-1.12E-2</v>
      </c>
    </row>
    <row r="1920" spans="1:7" x14ac:dyDescent="0.15">
      <c r="A1920" s="86">
        <v>43738</v>
      </c>
      <c r="B1920" s="18">
        <v>134000</v>
      </c>
      <c r="C1920" s="14">
        <v>133500</v>
      </c>
      <c r="D1920" s="14">
        <v>135500</v>
      </c>
      <c r="E1920" s="14">
        <v>133000</v>
      </c>
      <c r="F1920" t="s">
        <v>1352</v>
      </c>
      <c r="G1920" s="15">
        <v>3.7000000000000002E-3</v>
      </c>
    </row>
    <row r="1921" spans="1:7" x14ac:dyDescent="0.15">
      <c r="A1921" s="86">
        <v>43737</v>
      </c>
      <c r="B1921" s="18">
        <v>133500</v>
      </c>
      <c r="C1921" s="14">
        <v>133500</v>
      </c>
      <c r="D1921" s="14">
        <v>133500</v>
      </c>
      <c r="E1921" s="14">
        <v>133500</v>
      </c>
      <c r="G1921" s="15">
        <v>0</v>
      </c>
    </row>
    <row r="1922" spans="1:7" x14ac:dyDescent="0.15">
      <c r="A1922" s="86">
        <v>43735</v>
      </c>
      <c r="B1922" s="18">
        <v>133500</v>
      </c>
      <c r="C1922" s="14">
        <v>134000</v>
      </c>
      <c r="D1922" s="14">
        <v>134000</v>
      </c>
      <c r="E1922" s="14">
        <v>131000</v>
      </c>
      <c r="F1922" t="s">
        <v>745</v>
      </c>
      <c r="G1922" s="15">
        <v>3.8E-3</v>
      </c>
    </row>
    <row r="1923" spans="1:7" x14ac:dyDescent="0.15">
      <c r="A1923" s="86">
        <v>43734</v>
      </c>
      <c r="B1923" s="18">
        <v>133000</v>
      </c>
      <c r="C1923" s="14">
        <v>136000</v>
      </c>
      <c r="D1923" s="14">
        <v>136500</v>
      </c>
      <c r="E1923" s="14">
        <v>132000</v>
      </c>
      <c r="F1923" t="s">
        <v>1353</v>
      </c>
      <c r="G1923" s="15">
        <v>-1.12E-2</v>
      </c>
    </row>
    <row r="1924" spans="1:7" x14ac:dyDescent="0.15">
      <c r="A1924" s="86">
        <v>43733</v>
      </c>
      <c r="B1924" s="18">
        <v>134500</v>
      </c>
      <c r="C1924" s="14">
        <v>133000</v>
      </c>
      <c r="D1924" s="14">
        <v>135000</v>
      </c>
      <c r="E1924" s="14">
        <v>131500</v>
      </c>
      <c r="F1924" t="s">
        <v>1354</v>
      </c>
      <c r="G1924" s="15">
        <v>3.7000000000000002E-3</v>
      </c>
    </row>
    <row r="1925" spans="1:7" x14ac:dyDescent="0.15">
      <c r="A1925" s="86">
        <v>43732</v>
      </c>
      <c r="B1925" s="18">
        <v>134000</v>
      </c>
      <c r="C1925" s="14">
        <v>134000</v>
      </c>
      <c r="D1925" s="14">
        <v>135000</v>
      </c>
      <c r="E1925" s="14">
        <v>132000</v>
      </c>
      <c r="F1925" t="s">
        <v>1355</v>
      </c>
      <c r="G1925" s="15">
        <v>7.4999999999999997E-3</v>
      </c>
    </row>
    <row r="1926" spans="1:7" x14ac:dyDescent="0.15">
      <c r="A1926" s="86">
        <v>43731</v>
      </c>
      <c r="B1926" s="18">
        <v>133000</v>
      </c>
      <c r="C1926" s="14">
        <v>129500</v>
      </c>
      <c r="D1926" s="14">
        <v>133500</v>
      </c>
      <c r="E1926" s="14">
        <v>129000</v>
      </c>
      <c r="F1926" t="s">
        <v>556</v>
      </c>
      <c r="G1926" s="15">
        <v>2.7E-2</v>
      </c>
    </row>
    <row r="1927" spans="1:7" x14ac:dyDescent="0.15">
      <c r="A1927" s="86">
        <v>43728</v>
      </c>
      <c r="B1927" s="18">
        <v>129500</v>
      </c>
      <c r="C1927" s="14">
        <v>128500</v>
      </c>
      <c r="D1927" s="14">
        <v>130500</v>
      </c>
      <c r="E1927" s="14">
        <v>128000</v>
      </c>
      <c r="F1927" t="s">
        <v>1356</v>
      </c>
      <c r="G1927" s="15">
        <v>3.8999999999999998E-3</v>
      </c>
    </row>
    <row r="1928" spans="1:7" x14ac:dyDescent="0.15">
      <c r="A1928" s="86">
        <v>43727</v>
      </c>
      <c r="B1928" s="18">
        <v>129000</v>
      </c>
      <c r="C1928" s="14">
        <v>127500</v>
      </c>
      <c r="D1928" s="14">
        <v>129000</v>
      </c>
      <c r="E1928" s="14">
        <v>126500</v>
      </c>
      <c r="F1928" t="s">
        <v>1357</v>
      </c>
      <c r="G1928" s="15">
        <v>1.18E-2</v>
      </c>
    </row>
    <row r="1929" spans="1:7" x14ac:dyDescent="0.15">
      <c r="A1929" s="86">
        <v>43726</v>
      </c>
      <c r="B1929" s="18">
        <v>127500</v>
      </c>
      <c r="C1929" s="14">
        <v>126000</v>
      </c>
      <c r="D1929" s="14">
        <v>128500</v>
      </c>
      <c r="E1929" s="14">
        <v>125500</v>
      </c>
      <c r="F1929" t="s">
        <v>1358</v>
      </c>
      <c r="G1929" s="15">
        <v>1.1900000000000001E-2</v>
      </c>
    </row>
    <row r="1930" spans="1:7" x14ac:dyDescent="0.15">
      <c r="A1930" s="86">
        <v>43725</v>
      </c>
      <c r="B1930" s="18">
        <v>126000</v>
      </c>
      <c r="C1930" s="14">
        <v>127500</v>
      </c>
      <c r="D1930" s="14">
        <v>128000</v>
      </c>
      <c r="E1930" s="14">
        <v>125500</v>
      </c>
      <c r="F1930" t="s">
        <v>1359</v>
      </c>
      <c r="G1930" s="15">
        <v>-1.5599999999999999E-2</v>
      </c>
    </row>
    <row r="1931" spans="1:7" x14ac:dyDescent="0.15">
      <c r="A1931" s="86">
        <v>43724</v>
      </c>
      <c r="B1931" s="18">
        <v>128000</v>
      </c>
      <c r="C1931" s="14">
        <v>128500</v>
      </c>
      <c r="D1931" s="14">
        <v>129500</v>
      </c>
      <c r="E1931" s="14">
        <v>126000</v>
      </c>
      <c r="F1931" t="s">
        <v>1360</v>
      </c>
      <c r="G1931" s="15">
        <v>-7.7999999999999996E-3</v>
      </c>
    </row>
    <row r="1932" spans="1:7" x14ac:dyDescent="0.15">
      <c r="A1932" s="86">
        <v>43723</v>
      </c>
      <c r="B1932" s="18">
        <v>129000</v>
      </c>
      <c r="C1932" s="14">
        <v>129000</v>
      </c>
      <c r="D1932" s="14">
        <v>129000</v>
      </c>
      <c r="E1932" s="14">
        <v>129000</v>
      </c>
      <c r="G1932" s="15">
        <v>0</v>
      </c>
    </row>
    <row r="1933" spans="1:7" x14ac:dyDescent="0.15">
      <c r="A1933" s="86">
        <v>43719</v>
      </c>
      <c r="B1933" s="18">
        <v>129000</v>
      </c>
      <c r="C1933" s="14">
        <v>128500</v>
      </c>
      <c r="D1933" s="14">
        <v>129000</v>
      </c>
      <c r="E1933" s="14">
        <v>127500</v>
      </c>
      <c r="F1933" t="s">
        <v>1361</v>
      </c>
      <c r="G1933" s="15">
        <v>7.7999999999999996E-3</v>
      </c>
    </row>
    <row r="1934" spans="1:7" x14ac:dyDescent="0.15">
      <c r="A1934" s="86">
        <v>43718</v>
      </c>
      <c r="B1934" s="18">
        <v>128000</v>
      </c>
      <c r="C1934" s="14">
        <v>127000</v>
      </c>
      <c r="D1934" s="14">
        <v>128500</v>
      </c>
      <c r="E1934" s="14">
        <v>126500</v>
      </c>
      <c r="F1934" t="s">
        <v>1362</v>
      </c>
      <c r="G1934" s="15">
        <v>7.9000000000000008E-3</v>
      </c>
    </row>
    <row r="1935" spans="1:7" x14ac:dyDescent="0.15">
      <c r="A1935" s="86">
        <v>43717</v>
      </c>
      <c r="B1935" s="18">
        <v>127000</v>
      </c>
      <c r="C1935" s="14">
        <v>127500</v>
      </c>
      <c r="D1935" s="14">
        <v>128500</v>
      </c>
      <c r="E1935" s="14">
        <v>126000</v>
      </c>
      <c r="F1935" t="s">
        <v>1363</v>
      </c>
      <c r="G1935" s="15">
        <v>-3.8999999999999998E-3</v>
      </c>
    </row>
    <row r="1936" spans="1:7" x14ac:dyDescent="0.15">
      <c r="A1936" s="86">
        <v>43716</v>
      </c>
      <c r="B1936" s="18">
        <v>127500</v>
      </c>
      <c r="C1936" s="14">
        <v>127500</v>
      </c>
      <c r="D1936" s="14">
        <v>127500</v>
      </c>
      <c r="E1936" s="14">
        <v>127500</v>
      </c>
      <c r="G1936" s="15">
        <v>0</v>
      </c>
    </row>
    <row r="1937" spans="1:7" x14ac:dyDescent="0.15">
      <c r="A1937" s="86">
        <v>43714</v>
      </c>
      <c r="B1937" s="18">
        <v>127500</v>
      </c>
      <c r="C1937" s="14">
        <v>128000</v>
      </c>
      <c r="D1937" s="14">
        <v>128500</v>
      </c>
      <c r="E1937" s="14">
        <v>126500</v>
      </c>
      <c r="F1937" t="s">
        <v>1364</v>
      </c>
      <c r="G1937" s="15">
        <v>-3.8999999999999998E-3</v>
      </c>
    </row>
    <row r="1938" spans="1:7" x14ac:dyDescent="0.15">
      <c r="A1938" s="86">
        <v>43713</v>
      </c>
      <c r="B1938" s="18">
        <v>128000</v>
      </c>
      <c r="C1938" s="14">
        <v>128000</v>
      </c>
      <c r="D1938" s="14">
        <v>129000</v>
      </c>
      <c r="E1938" s="14">
        <v>127000</v>
      </c>
      <c r="F1938" t="s">
        <v>1365</v>
      </c>
      <c r="G1938" s="15">
        <v>-3.8999999999999998E-3</v>
      </c>
    </row>
    <row r="1939" spans="1:7" x14ac:dyDescent="0.15">
      <c r="A1939" s="86">
        <v>43712</v>
      </c>
      <c r="B1939" s="18">
        <v>128500</v>
      </c>
      <c r="C1939" s="14">
        <v>128000</v>
      </c>
      <c r="D1939" s="14">
        <v>129000</v>
      </c>
      <c r="E1939" s="14">
        <v>127000</v>
      </c>
      <c r="F1939" t="s">
        <v>1366</v>
      </c>
      <c r="G1939" s="15">
        <v>0</v>
      </c>
    </row>
    <row r="1940" spans="1:7" x14ac:dyDescent="0.15">
      <c r="A1940" s="86">
        <v>43711</v>
      </c>
      <c r="B1940" s="18">
        <v>128500</v>
      </c>
      <c r="C1940" s="14">
        <v>131500</v>
      </c>
      <c r="D1940" s="14">
        <v>132000</v>
      </c>
      <c r="E1940" s="14">
        <v>127500</v>
      </c>
      <c r="F1940" t="s">
        <v>1367</v>
      </c>
      <c r="G1940" s="15">
        <v>-1.9099999999999999E-2</v>
      </c>
    </row>
    <row r="1941" spans="1:7" x14ac:dyDescent="0.15">
      <c r="A1941" s="86">
        <v>43710</v>
      </c>
      <c r="B1941" s="18">
        <v>131000</v>
      </c>
      <c r="C1941" s="14">
        <v>128000</v>
      </c>
      <c r="D1941" s="14">
        <v>132000</v>
      </c>
      <c r="E1941" s="14">
        <v>127500</v>
      </c>
      <c r="F1941" t="s">
        <v>1368</v>
      </c>
      <c r="G1941" s="15">
        <v>1.95E-2</v>
      </c>
    </row>
    <row r="1942" spans="1:7" x14ac:dyDescent="0.15">
      <c r="A1942" s="86">
        <v>43709</v>
      </c>
      <c r="B1942" s="18">
        <v>128500</v>
      </c>
      <c r="C1942" s="14">
        <v>128500</v>
      </c>
      <c r="D1942" s="14">
        <v>128500</v>
      </c>
      <c r="E1942" s="14">
        <v>128500</v>
      </c>
      <c r="G1942" s="15">
        <v>0</v>
      </c>
    </row>
    <row r="1943" spans="1:7" x14ac:dyDescent="0.15">
      <c r="A1943" s="86">
        <v>43707</v>
      </c>
      <c r="B1943" s="18">
        <v>128500</v>
      </c>
      <c r="C1943" s="14">
        <v>127500</v>
      </c>
      <c r="D1943" s="14">
        <v>129000</v>
      </c>
      <c r="E1943" s="14">
        <v>127000</v>
      </c>
      <c r="F1943" t="s">
        <v>1369</v>
      </c>
      <c r="G1943" s="15">
        <v>1.5800000000000002E-2</v>
      </c>
    </row>
    <row r="1944" spans="1:7" x14ac:dyDescent="0.15">
      <c r="A1944" s="86">
        <v>43706</v>
      </c>
      <c r="B1944" s="18">
        <v>126500</v>
      </c>
      <c r="C1944" s="14">
        <v>127500</v>
      </c>
      <c r="D1944" s="14">
        <v>128000</v>
      </c>
      <c r="E1944" s="14">
        <v>126000</v>
      </c>
      <c r="F1944" t="s">
        <v>1370</v>
      </c>
      <c r="G1944" s="15">
        <v>-7.7999999999999996E-3</v>
      </c>
    </row>
    <row r="1945" spans="1:7" x14ac:dyDescent="0.15">
      <c r="A1945" s="86">
        <v>43705</v>
      </c>
      <c r="B1945" s="18">
        <v>127500</v>
      </c>
      <c r="C1945" s="14">
        <v>128500</v>
      </c>
      <c r="D1945" s="14">
        <v>130500</v>
      </c>
      <c r="E1945" s="14">
        <v>127000</v>
      </c>
      <c r="F1945" t="s">
        <v>1371</v>
      </c>
      <c r="G1945" s="15">
        <v>0.02</v>
      </c>
    </row>
    <row r="1946" spans="1:7" x14ac:dyDescent="0.15">
      <c r="A1946" s="86">
        <v>43704</v>
      </c>
      <c r="B1946" s="18">
        <v>125000</v>
      </c>
      <c r="C1946" s="14">
        <v>125000</v>
      </c>
      <c r="D1946" s="14">
        <v>126500</v>
      </c>
      <c r="E1946" s="14">
        <v>124000</v>
      </c>
      <c r="F1946" t="s">
        <v>1372</v>
      </c>
      <c r="G1946" s="15">
        <v>4.0000000000000001E-3</v>
      </c>
    </row>
    <row r="1947" spans="1:7" x14ac:dyDescent="0.15">
      <c r="A1947" s="86">
        <v>43703</v>
      </c>
      <c r="B1947" s="18">
        <v>124500</v>
      </c>
      <c r="C1947" s="14">
        <v>124000</v>
      </c>
      <c r="D1947" s="14">
        <v>126000</v>
      </c>
      <c r="E1947" s="14">
        <v>123500</v>
      </c>
      <c r="F1947" t="s">
        <v>1373</v>
      </c>
      <c r="G1947" s="15">
        <v>-1.1900000000000001E-2</v>
      </c>
    </row>
    <row r="1948" spans="1:7" x14ac:dyDescent="0.15">
      <c r="A1948" s="86">
        <v>43700</v>
      </c>
      <c r="B1948" s="18">
        <v>126000</v>
      </c>
      <c r="C1948" s="14">
        <v>123000</v>
      </c>
      <c r="D1948" s="14">
        <v>126000</v>
      </c>
      <c r="E1948" s="14">
        <v>123000</v>
      </c>
      <c r="F1948" t="s">
        <v>1374</v>
      </c>
      <c r="G1948" s="15">
        <v>1.61E-2</v>
      </c>
    </row>
    <row r="1949" spans="1:7" x14ac:dyDescent="0.15">
      <c r="A1949" s="86">
        <v>43699</v>
      </c>
      <c r="B1949" s="18">
        <v>124000</v>
      </c>
      <c r="C1949" s="14">
        <v>126000</v>
      </c>
      <c r="D1949" s="14">
        <v>126500</v>
      </c>
      <c r="E1949" s="14">
        <v>124000</v>
      </c>
      <c r="F1949" t="s">
        <v>1375</v>
      </c>
      <c r="G1949" s="15">
        <v>-1.2E-2</v>
      </c>
    </row>
    <row r="1950" spans="1:7" x14ac:dyDescent="0.15">
      <c r="A1950" s="86">
        <v>43698</v>
      </c>
      <c r="B1950" s="18">
        <v>125500</v>
      </c>
      <c r="C1950" s="14">
        <v>126500</v>
      </c>
      <c r="D1950" s="14">
        <v>127500</v>
      </c>
      <c r="E1950" s="14">
        <v>124000</v>
      </c>
      <c r="F1950" t="s">
        <v>1376</v>
      </c>
      <c r="G1950" s="15">
        <v>-7.9000000000000008E-3</v>
      </c>
    </row>
    <row r="1951" spans="1:7" x14ac:dyDescent="0.15">
      <c r="A1951" s="86">
        <v>43697</v>
      </c>
      <c r="B1951" s="18">
        <v>126500</v>
      </c>
      <c r="C1951" s="14">
        <v>127500</v>
      </c>
      <c r="D1951" s="14">
        <v>128500</v>
      </c>
      <c r="E1951" s="14">
        <v>125000</v>
      </c>
      <c r="F1951" t="s">
        <v>1377</v>
      </c>
      <c r="G1951" s="15">
        <v>-1.17E-2</v>
      </c>
    </row>
    <row r="1952" spans="1:7" x14ac:dyDescent="0.15">
      <c r="A1952" s="86">
        <v>43696</v>
      </c>
      <c r="B1952" s="18">
        <v>128000</v>
      </c>
      <c r="C1952" s="14">
        <v>127500</v>
      </c>
      <c r="D1952" s="14">
        <v>129500</v>
      </c>
      <c r="E1952" s="14">
        <v>127500</v>
      </c>
      <c r="F1952" t="s">
        <v>1378</v>
      </c>
      <c r="G1952" s="15">
        <v>0</v>
      </c>
    </row>
    <row r="1953" spans="1:7" x14ac:dyDescent="0.15">
      <c r="A1953" s="86">
        <v>43695</v>
      </c>
      <c r="B1953" s="18">
        <v>128000</v>
      </c>
      <c r="C1953" s="14">
        <v>128000</v>
      </c>
      <c r="D1953" s="14">
        <v>128000</v>
      </c>
      <c r="E1953" s="14">
        <v>128000</v>
      </c>
      <c r="G1953" s="15">
        <v>0</v>
      </c>
    </row>
    <row r="1954" spans="1:7" x14ac:dyDescent="0.15">
      <c r="A1954" s="86">
        <v>43693</v>
      </c>
      <c r="B1954" s="18">
        <v>128000</v>
      </c>
      <c r="C1954" s="14">
        <v>126500</v>
      </c>
      <c r="D1954" s="14">
        <v>128000</v>
      </c>
      <c r="E1954" s="14">
        <v>125000</v>
      </c>
      <c r="F1954" t="s">
        <v>1379</v>
      </c>
      <c r="G1954" s="15">
        <v>3.8999999999999998E-3</v>
      </c>
    </row>
    <row r="1955" spans="1:7" x14ac:dyDescent="0.15">
      <c r="A1955" s="86">
        <v>43692</v>
      </c>
      <c r="B1955" s="18">
        <v>127500</v>
      </c>
      <c r="C1955" s="14">
        <v>127500</v>
      </c>
      <c r="D1955" s="14">
        <v>127500</v>
      </c>
      <c r="E1955" s="14">
        <v>127500</v>
      </c>
      <c r="G1955" s="15">
        <v>0</v>
      </c>
    </row>
    <row r="1956" spans="1:7" x14ac:dyDescent="0.15">
      <c r="A1956" s="86">
        <v>43691</v>
      </c>
      <c r="B1956" s="18">
        <v>127500</v>
      </c>
      <c r="C1956" s="14">
        <v>130000</v>
      </c>
      <c r="D1956" s="14">
        <v>131500</v>
      </c>
      <c r="E1956" s="14">
        <v>127000</v>
      </c>
      <c r="F1956" t="s">
        <v>1380</v>
      </c>
      <c r="G1956" s="15">
        <v>-1.1599999999999999E-2</v>
      </c>
    </row>
    <row r="1957" spans="1:7" x14ac:dyDescent="0.15">
      <c r="A1957" s="86">
        <v>43690</v>
      </c>
      <c r="B1957" s="18">
        <v>129000</v>
      </c>
      <c r="C1957" s="14">
        <v>129500</v>
      </c>
      <c r="D1957" s="14">
        <v>131000</v>
      </c>
      <c r="E1957" s="14">
        <v>129000</v>
      </c>
      <c r="F1957" t="s">
        <v>1381</v>
      </c>
      <c r="G1957" s="15">
        <v>-1.5299999999999999E-2</v>
      </c>
    </row>
    <row r="1958" spans="1:7" x14ac:dyDescent="0.15">
      <c r="A1958" s="86">
        <v>43689</v>
      </c>
      <c r="B1958" s="18">
        <v>131000</v>
      </c>
      <c r="C1958" s="14">
        <v>131000</v>
      </c>
      <c r="D1958" s="14">
        <v>132500</v>
      </c>
      <c r="E1958" s="14">
        <v>130000</v>
      </c>
      <c r="F1958" t="s">
        <v>1382</v>
      </c>
      <c r="G1958" s="15">
        <v>-1.1299999999999999E-2</v>
      </c>
    </row>
    <row r="1959" spans="1:7" x14ac:dyDescent="0.15">
      <c r="A1959" s="86">
        <v>43686</v>
      </c>
      <c r="B1959" s="18">
        <v>132500</v>
      </c>
      <c r="C1959" s="14">
        <v>131500</v>
      </c>
      <c r="D1959" s="14">
        <v>132500</v>
      </c>
      <c r="E1959" s="14">
        <v>129000</v>
      </c>
      <c r="F1959" t="s">
        <v>1383</v>
      </c>
      <c r="G1959" s="15">
        <v>1.9199999999999998E-2</v>
      </c>
    </row>
    <row r="1960" spans="1:7" x14ac:dyDescent="0.15">
      <c r="A1960" s="86">
        <v>43685</v>
      </c>
      <c r="B1960" s="18">
        <v>130000</v>
      </c>
      <c r="C1960" s="14">
        <v>129000</v>
      </c>
      <c r="D1960" s="14">
        <v>132500</v>
      </c>
      <c r="E1960" s="14">
        <v>128500</v>
      </c>
      <c r="F1960" t="s">
        <v>315</v>
      </c>
      <c r="G1960" s="15">
        <v>2.3599999999999999E-2</v>
      </c>
    </row>
    <row r="1961" spans="1:7" x14ac:dyDescent="0.15">
      <c r="A1961" s="86">
        <v>43684</v>
      </c>
      <c r="B1961" s="18">
        <v>127000</v>
      </c>
      <c r="C1961" s="14">
        <v>126500</v>
      </c>
      <c r="D1961" s="14">
        <v>129000</v>
      </c>
      <c r="E1961" s="14">
        <v>126500</v>
      </c>
      <c r="F1961" t="s">
        <v>1384</v>
      </c>
      <c r="G1961" s="15">
        <v>7.9000000000000008E-3</v>
      </c>
    </row>
    <row r="1962" spans="1:7" x14ac:dyDescent="0.15">
      <c r="A1962" s="86">
        <v>43683</v>
      </c>
      <c r="B1962" s="18">
        <v>126000</v>
      </c>
      <c r="C1962" s="14">
        <v>126000</v>
      </c>
      <c r="D1962" s="14">
        <v>127500</v>
      </c>
      <c r="E1962" s="14">
        <v>123000</v>
      </c>
      <c r="F1962" t="s">
        <v>1385</v>
      </c>
      <c r="G1962" s="15">
        <v>-1.18E-2</v>
      </c>
    </row>
    <row r="1963" spans="1:7" x14ac:dyDescent="0.15">
      <c r="A1963" s="86">
        <v>43682</v>
      </c>
      <c r="B1963" s="18">
        <v>127500</v>
      </c>
      <c r="C1963" s="14">
        <v>127500</v>
      </c>
      <c r="D1963" s="14">
        <v>128000</v>
      </c>
      <c r="E1963" s="14">
        <v>125500</v>
      </c>
      <c r="F1963" t="s">
        <v>1386</v>
      </c>
      <c r="G1963" s="15">
        <v>0</v>
      </c>
    </row>
    <row r="1964" spans="1:7" x14ac:dyDescent="0.15">
      <c r="A1964" s="86">
        <v>43681</v>
      </c>
      <c r="B1964" s="18">
        <v>127500</v>
      </c>
      <c r="C1964" s="14">
        <v>127500</v>
      </c>
      <c r="D1964" s="14">
        <v>127500</v>
      </c>
      <c r="E1964" s="14">
        <v>127500</v>
      </c>
      <c r="G1964" s="15">
        <v>0</v>
      </c>
    </row>
    <row r="1965" spans="1:7" x14ac:dyDescent="0.15">
      <c r="A1965" s="86">
        <v>43679</v>
      </c>
      <c r="B1965" s="18">
        <v>127500</v>
      </c>
      <c r="C1965" s="14">
        <v>126000</v>
      </c>
      <c r="D1965" s="14">
        <v>128500</v>
      </c>
      <c r="E1965" s="14">
        <v>124500</v>
      </c>
      <c r="F1965" t="s">
        <v>1387</v>
      </c>
      <c r="G1965" s="15">
        <v>1.5900000000000001E-2</v>
      </c>
    </row>
    <row r="1966" spans="1:7" x14ac:dyDescent="0.15">
      <c r="A1966" s="86">
        <v>43678</v>
      </c>
      <c r="B1966" s="18">
        <v>125500</v>
      </c>
      <c r="C1966" s="14">
        <v>126500</v>
      </c>
      <c r="D1966" s="14">
        <v>130000</v>
      </c>
      <c r="E1966" s="14">
        <v>125000</v>
      </c>
      <c r="F1966" t="s">
        <v>1056</v>
      </c>
      <c r="G1966" s="15">
        <v>-7.9000000000000008E-3</v>
      </c>
    </row>
    <row r="1967" spans="1:7" x14ac:dyDescent="0.15">
      <c r="A1967" s="86">
        <v>43677</v>
      </c>
      <c r="B1967" s="18">
        <v>126500</v>
      </c>
      <c r="C1967" s="14">
        <v>126500</v>
      </c>
      <c r="D1967" s="14">
        <v>129000</v>
      </c>
      <c r="E1967" s="14">
        <v>126500</v>
      </c>
      <c r="F1967" t="s">
        <v>1388</v>
      </c>
      <c r="G1967" s="15">
        <v>-1.17E-2</v>
      </c>
    </row>
    <row r="1968" spans="1:7" x14ac:dyDescent="0.15">
      <c r="A1968" s="86">
        <v>43676</v>
      </c>
      <c r="B1968" s="18">
        <v>128000</v>
      </c>
      <c r="C1968" s="14">
        <v>129000</v>
      </c>
      <c r="D1968" s="14">
        <v>129500</v>
      </c>
      <c r="E1968" s="14">
        <v>126500</v>
      </c>
      <c r="F1968" t="s">
        <v>1389</v>
      </c>
      <c r="G1968" s="15">
        <v>0</v>
      </c>
    </row>
    <row r="1969" spans="1:7" x14ac:dyDescent="0.15">
      <c r="A1969" s="86">
        <v>43675</v>
      </c>
      <c r="B1969" s="18">
        <v>128000</v>
      </c>
      <c r="C1969" s="14">
        <v>130000</v>
      </c>
      <c r="D1969" s="14">
        <v>131000</v>
      </c>
      <c r="E1969" s="14">
        <v>126500</v>
      </c>
      <c r="F1969" t="s">
        <v>1390</v>
      </c>
      <c r="G1969" s="15">
        <v>-1.9199999999999998E-2</v>
      </c>
    </row>
    <row r="1970" spans="1:7" x14ac:dyDescent="0.15">
      <c r="A1970" s="86">
        <v>43674</v>
      </c>
      <c r="B1970" s="18">
        <v>130500</v>
      </c>
      <c r="C1970" s="14">
        <v>130500</v>
      </c>
      <c r="D1970" s="14">
        <v>130500</v>
      </c>
      <c r="E1970" s="14">
        <v>130500</v>
      </c>
      <c r="G1970" s="15">
        <v>0</v>
      </c>
    </row>
    <row r="1971" spans="1:7" x14ac:dyDescent="0.15">
      <c r="A1971" s="86">
        <v>43672</v>
      </c>
      <c r="B1971" s="18">
        <v>130500</v>
      </c>
      <c r="C1971" s="14">
        <v>130500</v>
      </c>
      <c r="D1971" s="14">
        <v>132500</v>
      </c>
      <c r="E1971" s="14">
        <v>130000</v>
      </c>
      <c r="F1971" t="s">
        <v>1391</v>
      </c>
      <c r="G1971" s="15">
        <v>-7.6E-3</v>
      </c>
    </row>
    <row r="1972" spans="1:7" x14ac:dyDescent="0.15">
      <c r="A1972" s="86">
        <v>43671</v>
      </c>
      <c r="B1972" s="18">
        <v>131500</v>
      </c>
      <c r="C1972" s="14">
        <v>131500</v>
      </c>
      <c r="D1972" s="14">
        <v>133500</v>
      </c>
      <c r="E1972" s="14">
        <v>130000</v>
      </c>
      <c r="F1972" t="s">
        <v>1392</v>
      </c>
      <c r="G1972" s="15">
        <v>-7.4999999999999997E-3</v>
      </c>
    </row>
    <row r="1973" spans="1:7" x14ac:dyDescent="0.15">
      <c r="A1973" s="86">
        <v>43670</v>
      </c>
      <c r="B1973" s="18">
        <v>132500</v>
      </c>
      <c r="C1973" s="14">
        <v>131500</v>
      </c>
      <c r="D1973" s="14">
        <v>133500</v>
      </c>
      <c r="E1973" s="14">
        <v>131500</v>
      </c>
      <c r="F1973" t="s">
        <v>1393</v>
      </c>
      <c r="G1973" s="15">
        <v>3.8E-3</v>
      </c>
    </row>
    <row r="1974" spans="1:7" x14ac:dyDescent="0.15">
      <c r="A1974" s="86">
        <v>43669</v>
      </c>
      <c r="B1974" s="18">
        <v>132000</v>
      </c>
      <c r="C1974" s="14">
        <v>133500</v>
      </c>
      <c r="D1974" s="14">
        <v>133500</v>
      </c>
      <c r="E1974" s="14">
        <v>128500</v>
      </c>
      <c r="F1974" t="s">
        <v>106</v>
      </c>
      <c r="G1974" s="15">
        <v>-7.4999999999999997E-3</v>
      </c>
    </row>
    <row r="1975" spans="1:7" x14ac:dyDescent="0.15">
      <c r="A1975" s="86">
        <v>43668</v>
      </c>
      <c r="B1975" s="18">
        <v>133000</v>
      </c>
      <c r="C1975" s="14">
        <v>134000</v>
      </c>
      <c r="D1975" s="14">
        <v>135500</v>
      </c>
      <c r="E1975" s="14">
        <v>132000</v>
      </c>
      <c r="F1975" t="s">
        <v>1394</v>
      </c>
      <c r="G1975" s="15">
        <v>-1.12E-2</v>
      </c>
    </row>
    <row r="1976" spans="1:7" x14ac:dyDescent="0.15">
      <c r="A1976" s="86">
        <v>43665</v>
      </c>
      <c r="B1976" s="18">
        <v>134500</v>
      </c>
      <c r="C1976" s="14">
        <v>135500</v>
      </c>
      <c r="D1976" s="14">
        <v>135500</v>
      </c>
      <c r="E1976" s="14">
        <v>132000</v>
      </c>
      <c r="F1976" t="s">
        <v>1395</v>
      </c>
      <c r="G1976" s="15">
        <v>3.7000000000000002E-3</v>
      </c>
    </row>
    <row r="1977" spans="1:7" x14ac:dyDescent="0.15">
      <c r="A1977" s="86">
        <v>43664</v>
      </c>
      <c r="B1977" s="18">
        <v>134000</v>
      </c>
      <c r="C1977" s="14">
        <v>133000</v>
      </c>
      <c r="D1977" s="14">
        <v>134500</v>
      </c>
      <c r="E1977" s="14">
        <v>132500</v>
      </c>
      <c r="F1977" t="s">
        <v>1396</v>
      </c>
      <c r="G1977" s="15">
        <v>3.7000000000000002E-3</v>
      </c>
    </row>
    <row r="1978" spans="1:7" x14ac:dyDescent="0.15">
      <c r="A1978" s="86">
        <v>43663</v>
      </c>
      <c r="B1978" s="18">
        <v>133500</v>
      </c>
      <c r="C1978" s="14">
        <v>133000</v>
      </c>
      <c r="D1978" s="14">
        <v>134500</v>
      </c>
      <c r="E1978" s="14">
        <v>132000</v>
      </c>
      <c r="F1978" t="s">
        <v>1397</v>
      </c>
      <c r="G1978" s="15">
        <v>3.8E-3</v>
      </c>
    </row>
    <row r="1979" spans="1:7" x14ac:dyDescent="0.15">
      <c r="A1979" s="86">
        <v>43662</v>
      </c>
      <c r="B1979" s="18">
        <v>133000</v>
      </c>
      <c r="C1979" s="14">
        <v>139000</v>
      </c>
      <c r="D1979" s="14">
        <v>139000</v>
      </c>
      <c r="E1979" s="14">
        <v>132000</v>
      </c>
      <c r="F1979" t="s">
        <v>1398</v>
      </c>
      <c r="G1979" s="15">
        <v>-3.6200000000000003E-2</v>
      </c>
    </row>
    <row r="1980" spans="1:7" x14ac:dyDescent="0.15">
      <c r="A1980" s="86">
        <v>43661</v>
      </c>
      <c r="B1980" s="18">
        <v>138000</v>
      </c>
      <c r="C1980" s="14">
        <v>139500</v>
      </c>
      <c r="D1980" s="14">
        <v>140000</v>
      </c>
      <c r="E1980" s="14">
        <v>137000</v>
      </c>
      <c r="F1980" t="s">
        <v>1399</v>
      </c>
      <c r="G1980" s="15">
        <v>-1.0800000000000001E-2</v>
      </c>
    </row>
    <row r="1981" spans="1:7" x14ac:dyDescent="0.15">
      <c r="A1981" s="86">
        <v>43658</v>
      </c>
      <c r="B1981" s="18">
        <v>139500</v>
      </c>
      <c r="C1981" s="14">
        <v>138500</v>
      </c>
      <c r="D1981" s="14">
        <v>142000</v>
      </c>
      <c r="E1981" s="14">
        <v>138000</v>
      </c>
      <c r="F1981" t="s">
        <v>1400</v>
      </c>
      <c r="G1981" s="15">
        <v>3.5999999999999999E-3</v>
      </c>
    </row>
    <row r="1982" spans="1:7" x14ac:dyDescent="0.15">
      <c r="A1982" s="86">
        <v>43657</v>
      </c>
      <c r="B1982" s="18">
        <v>139000</v>
      </c>
      <c r="C1982" s="14">
        <v>136500</v>
      </c>
      <c r="D1982" s="14">
        <v>140500</v>
      </c>
      <c r="E1982" s="14">
        <v>135000</v>
      </c>
      <c r="F1982" t="s">
        <v>416</v>
      </c>
      <c r="G1982" s="15">
        <v>1.46E-2</v>
      </c>
    </row>
    <row r="1983" spans="1:7" x14ac:dyDescent="0.15">
      <c r="A1983" s="86">
        <v>43656</v>
      </c>
      <c r="B1983" s="18">
        <v>137000</v>
      </c>
      <c r="C1983" s="14">
        <v>139000</v>
      </c>
      <c r="D1983" s="14">
        <v>140000</v>
      </c>
      <c r="E1983" s="14">
        <v>135500</v>
      </c>
      <c r="F1983" t="s">
        <v>1401</v>
      </c>
      <c r="G1983" s="15">
        <v>-3.5999999999999999E-3</v>
      </c>
    </row>
    <row r="1984" spans="1:7" x14ac:dyDescent="0.15">
      <c r="A1984" s="86">
        <v>43655</v>
      </c>
      <c r="B1984" s="18">
        <v>137500</v>
      </c>
      <c r="C1984" s="14">
        <v>139500</v>
      </c>
      <c r="D1984" s="14">
        <v>141500</v>
      </c>
      <c r="E1984" s="14">
        <v>137000</v>
      </c>
      <c r="F1984" t="s">
        <v>1402</v>
      </c>
      <c r="G1984" s="15">
        <v>-7.1999999999999998E-3</v>
      </c>
    </row>
    <row r="1985" spans="1:7" x14ac:dyDescent="0.15">
      <c r="A1985" s="86">
        <v>43654</v>
      </c>
      <c r="B1985" s="18">
        <v>138500</v>
      </c>
      <c r="C1985" s="14">
        <v>140500</v>
      </c>
      <c r="D1985" s="14">
        <v>142000</v>
      </c>
      <c r="E1985" s="14">
        <v>138000</v>
      </c>
      <c r="F1985" t="s">
        <v>1403</v>
      </c>
      <c r="G1985" s="15">
        <v>-2.12E-2</v>
      </c>
    </row>
    <row r="1986" spans="1:7" x14ac:dyDescent="0.15">
      <c r="A1986" s="86">
        <v>43651</v>
      </c>
      <c r="B1986" s="18">
        <v>141500</v>
      </c>
      <c r="C1986" s="14">
        <v>139000</v>
      </c>
      <c r="D1986" s="14">
        <v>142000</v>
      </c>
      <c r="E1986" s="14">
        <v>138500</v>
      </c>
      <c r="F1986" t="s">
        <v>1404</v>
      </c>
      <c r="G1986" s="15">
        <v>1.7999999999999999E-2</v>
      </c>
    </row>
    <row r="1987" spans="1:7" x14ac:dyDescent="0.15">
      <c r="A1987" s="86">
        <v>43650</v>
      </c>
      <c r="B1987" s="18">
        <v>139000</v>
      </c>
      <c r="C1987" s="14">
        <v>135500</v>
      </c>
      <c r="D1987" s="14">
        <v>139500</v>
      </c>
      <c r="E1987" s="14">
        <v>135000</v>
      </c>
      <c r="F1987" t="s">
        <v>1405</v>
      </c>
      <c r="G1987" s="15">
        <v>2.2100000000000002E-2</v>
      </c>
    </row>
    <row r="1988" spans="1:7" x14ac:dyDescent="0.15">
      <c r="A1988" s="86">
        <v>43649</v>
      </c>
      <c r="B1988" s="18">
        <v>136000</v>
      </c>
      <c r="C1988" s="14">
        <v>136000</v>
      </c>
      <c r="D1988" s="14">
        <v>138000</v>
      </c>
      <c r="E1988" s="14">
        <v>134000</v>
      </c>
      <c r="F1988" t="s">
        <v>1406</v>
      </c>
      <c r="G1988" s="15">
        <v>-7.3000000000000001E-3</v>
      </c>
    </row>
    <row r="1989" spans="1:7" x14ac:dyDescent="0.15">
      <c r="A1989" s="86">
        <v>43648</v>
      </c>
      <c r="B1989" s="18">
        <v>137000</v>
      </c>
      <c r="C1989" s="14">
        <v>139500</v>
      </c>
      <c r="D1989" s="14">
        <v>140000</v>
      </c>
      <c r="E1989" s="14">
        <v>136500</v>
      </c>
      <c r="F1989" t="s">
        <v>1407</v>
      </c>
      <c r="G1989" s="15">
        <v>-2.8400000000000002E-2</v>
      </c>
    </row>
    <row r="1990" spans="1:7" x14ac:dyDescent="0.15">
      <c r="A1990" s="86">
        <v>43647</v>
      </c>
      <c r="B1990" s="18">
        <v>141000</v>
      </c>
      <c r="C1990" s="14">
        <v>141500</v>
      </c>
      <c r="D1990" s="14">
        <v>142500</v>
      </c>
      <c r="E1990" s="14">
        <v>139500</v>
      </c>
      <c r="F1990" t="s">
        <v>1408</v>
      </c>
      <c r="G1990" s="15">
        <v>7.1000000000000004E-3</v>
      </c>
    </row>
    <row r="1991" spans="1:7" x14ac:dyDescent="0.15">
      <c r="A1991" s="86">
        <v>43646</v>
      </c>
      <c r="B1991" s="18">
        <v>140000</v>
      </c>
      <c r="C1991" s="14">
        <v>140000</v>
      </c>
      <c r="D1991" s="14">
        <v>140000</v>
      </c>
      <c r="E1991" s="14">
        <v>140000</v>
      </c>
      <c r="G1991" s="15">
        <v>0</v>
      </c>
    </row>
    <row r="1992" spans="1:7" x14ac:dyDescent="0.15">
      <c r="A1992" s="86">
        <v>43644</v>
      </c>
      <c r="B1992" s="18">
        <v>140000</v>
      </c>
      <c r="C1992" s="14">
        <v>140000</v>
      </c>
      <c r="D1992" s="14">
        <v>141000</v>
      </c>
      <c r="E1992" s="14">
        <v>139000</v>
      </c>
      <c r="F1992" t="s">
        <v>1409</v>
      </c>
      <c r="G1992" s="15">
        <v>-3.5999999999999999E-3</v>
      </c>
    </row>
    <row r="1993" spans="1:7" x14ac:dyDescent="0.15">
      <c r="A1993" s="86">
        <v>43643</v>
      </c>
      <c r="B1993" s="18">
        <v>140500</v>
      </c>
      <c r="C1993" s="14">
        <v>141000</v>
      </c>
      <c r="D1993" s="14">
        <v>142500</v>
      </c>
      <c r="E1993" s="14">
        <v>139500</v>
      </c>
      <c r="F1993" t="s">
        <v>1410</v>
      </c>
      <c r="G1993" s="15">
        <v>-7.1000000000000004E-3</v>
      </c>
    </row>
    <row r="1994" spans="1:7" x14ac:dyDescent="0.15">
      <c r="A1994" s="86">
        <v>43642</v>
      </c>
      <c r="B1994" s="18">
        <v>141500</v>
      </c>
      <c r="C1994" s="14">
        <v>141000</v>
      </c>
      <c r="D1994" s="14">
        <v>142000</v>
      </c>
      <c r="E1994" s="14">
        <v>140000</v>
      </c>
      <c r="F1994" t="s">
        <v>1411</v>
      </c>
      <c r="G1994" s="15">
        <v>0</v>
      </c>
    </row>
    <row r="1995" spans="1:7" x14ac:dyDescent="0.15">
      <c r="A1995" s="86">
        <v>43641</v>
      </c>
      <c r="B1995" s="18">
        <v>141500</v>
      </c>
      <c r="C1995" s="14">
        <v>142500</v>
      </c>
      <c r="D1995" s="14">
        <v>142500</v>
      </c>
      <c r="E1995" s="14">
        <v>140500</v>
      </c>
      <c r="F1995" t="s">
        <v>1412</v>
      </c>
      <c r="G1995" s="15">
        <v>-7.0000000000000001E-3</v>
      </c>
    </row>
    <row r="1996" spans="1:7" x14ac:dyDescent="0.15">
      <c r="A1996" s="86">
        <v>43640</v>
      </c>
      <c r="B1996" s="18">
        <v>142500</v>
      </c>
      <c r="C1996" s="14">
        <v>142000</v>
      </c>
      <c r="D1996" s="14">
        <v>143500</v>
      </c>
      <c r="E1996" s="14">
        <v>141500</v>
      </c>
      <c r="F1996" t="s">
        <v>1413</v>
      </c>
      <c r="G1996" s="15">
        <v>1.4200000000000001E-2</v>
      </c>
    </row>
    <row r="1997" spans="1:7" x14ac:dyDescent="0.15">
      <c r="A1997" s="86">
        <v>43637</v>
      </c>
      <c r="B1997" s="18">
        <v>140500</v>
      </c>
      <c r="C1997" s="14">
        <v>140000</v>
      </c>
      <c r="D1997" s="14">
        <v>141000</v>
      </c>
      <c r="E1997" s="14">
        <v>139500</v>
      </c>
      <c r="F1997" t="s">
        <v>1414</v>
      </c>
      <c r="G1997" s="15">
        <v>0</v>
      </c>
    </row>
    <row r="1998" spans="1:7" x14ac:dyDescent="0.15">
      <c r="A1998" s="86">
        <v>43636</v>
      </c>
      <c r="B1998" s="18">
        <v>140500</v>
      </c>
      <c r="C1998" s="14">
        <v>139500</v>
      </c>
      <c r="D1998" s="14">
        <v>141000</v>
      </c>
      <c r="E1998" s="14">
        <v>139000</v>
      </c>
      <c r="F1998" t="s">
        <v>1415</v>
      </c>
      <c r="G1998" s="15">
        <v>3.5999999999999999E-3</v>
      </c>
    </row>
    <row r="1999" spans="1:7" x14ac:dyDescent="0.15">
      <c r="A1999" s="86">
        <v>43635</v>
      </c>
      <c r="B1999" s="18">
        <v>140000</v>
      </c>
      <c r="C1999" s="14">
        <v>140500</v>
      </c>
      <c r="D1999" s="14">
        <v>141000</v>
      </c>
      <c r="E1999" s="14">
        <v>139000</v>
      </c>
      <c r="F1999" t="s">
        <v>1416</v>
      </c>
      <c r="G1999" s="15">
        <v>-7.1000000000000004E-3</v>
      </c>
    </row>
    <row r="2000" spans="1:7" x14ac:dyDescent="0.15">
      <c r="A2000" s="86">
        <v>43634</v>
      </c>
      <c r="B2000" s="18">
        <v>141000</v>
      </c>
      <c r="C2000" s="14">
        <v>140500</v>
      </c>
      <c r="D2000" s="14">
        <v>141500</v>
      </c>
      <c r="E2000" s="14">
        <v>139500</v>
      </c>
      <c r="F2000" t="s">
        <v>1417</v>
      </c>
      <c r="G2000" s="15">
        <v>7.1000000000000004E-3</v>
      </c>
    </row>
    <row r="2001" spans="1:7" x14ac:dyDescent="0.15">
      <c r="A2001" s="86">
        <v>43633</v>
      </c>
      <c r="B2001" s="18">
        <v>140000</v>
      </c>
      <c r="C2001" s="14">
        <v>140000</v>
      </c>
      <c r="D2001" s="14">
        <v>141500</v>
      </c>
      <c r="E2001" s="14">
        <v>139500</v>
      </c>
      <c r="F2001" t="s">
        <v>1418</v>
      </c>
      <c r="G2001" s="15">
        <v>-3.5999999999999999E-3</v>
      </c>
    </row>
    <row r="2002" spans="1:7" x14ac:dyDescent="0.15">
      <c r="A2002" s="86">
        <v>43630</v>
      </c>
      <c r="B2002" s="18">
        <v>140500</v>
      </c>
      <c r="C2002" s="14">
        <v>140000</v>
      </c>
      <c r="D2002" s="14">
        <v>142500</v>
      </c>
      <c r="E2002" s="14">
        <v>139500</v>
      </c>
      <c r="F2002" t="s">
        <v>1419</v>
      </c>
      <c r="G2002" s="15">
        <v>-3.5000000000000001E-3</v>
      </c>
    </row>
    <row r="2003" spans="1:7" x14ac:dyDescent="0.15">
      <c r="A2003" s="86">
        <v>43629</v>
      </c>
      <c r="B2003" s="18">
        <v>141000</v>
      </c>
      <c r="C2003" s="14">
        <v>140500</v>
      </c>
      <c r="D2003" s="14">
        <v>141500</v>
      </c>
      <c r="E2003" s="14">
        <v>137500</v>
      </c>
      <c r="F2003" t="s">
        <v>1420</v>
      </c>
      <c r="G2003" s="15">
        <v>0</v>
      </c>
    </row>
    <row r="2004" spans="1:7" x14ac:dyDescent="0.15">
      <c r="A2004" s="86">
        <v>43628</v>
      </c>
      <c r="B2004" s="18">
        <v>141000</v>
      </c>
      <c r="C2004" s="14">
        <v>143500</v>
      </c>
      <c r="D2004" s="14">
        <v>143500</v>
      </c>
      <c r="E2004" s="14">
        <v>139500</v>
      </c>
      <c r="F2004" t="s">
        <v>1421</v>
      </c>
      <c r="G2004" s="15">
        <v>-1.7399999999999999E-2</v>
      </c>
    </row>
    <row r="2005" spans="1:7" x14ac:dyDescent="0.15">
      <c r="A2005" s="86">
        <v>43627</v>
      </c>
      <c r="B2005" s="18">
        <v>143500</v>
      </c>
      <c r="C2005" s="14">
        <v>142500</v>
      </c>
      <c r="D2005" s="14">
        <v>143500</v>
      </c>
      <c r="E2005" s="14">
        <v>140500</v>
      </c>
      <c r="F2005" t="s">
        <v>1422</v>
      </c>
      <c r="G2005" s="15">
        <v>3.5000000000000001E-3</v>
      </c>
    </row>
    <row r="2006" spans="1:7" x14ac:dyDescent="0.15">
      <c r="A2006" s="86">
        <v>43626</v>
      </c>
      <c r="B2006" s="18">
        <v>143000</v>
      </c>
      <c r="C2006" s="14">
        <v>142000</v>
      </c>
      <c r="D2006" s="14">
        <v>143000</v>
      </c>
      <c r="E2006" s="14">
        <v>140000</v>
      </c>
      <c r="F2006" t="s">
        <v>1423</v>
      </c>
      <c r="G2006" s="15">
        <v>2.1399999999999999E-2</v>
      </c>
    </row>
    <row r="2007" spans="1:7" x14ac:dyDescent="0.15">
      <c r="A2007" s="86">
        <v>43623</v>
      </c>
      <c r="B2007" s="18">
        <v>140000</v>
      </c>
      <c r="C2007" s="14">
        <v>141500</v>
      </c>
      <c r="D2007" s="14">
        <v>142000</v>
      </c>
      <c r="E2007" s="14">
        <v>139500</v>
      </c>
      <c r="F2007" t="s">
        <v>1424</v>
      </c>
      <c r="G2007" s="15">
        <v>-7.1000000000000004E-3</v>
      </c>
    </row>
    <row r="2008" spans="1:7" x14ac:dyDescent="0.15">
      <c r="A2008" s="86">
        <v>43621</v>
      </c>
      <c r="B2008" s="18">
        <v>141000</v>
      </c>
      <c r="C2008" s="14">
        <v>139500</v>
      </c>
      <c r="D2008" s="14">
        <v>142000</v>
      </c>
      <c r="E2008" s="14">
        <v>139000</v>
      </c>
      <c r="F2008" t="s">
        <v>1425</v>
      </c>
      <c r="G2008" s="15">
        <v>1.44E-2</v>
      </c>
    </row>
    <row r="2009" spans="1:7" x14ac:dyDescent="0.15">
      <c r="A2009" s="86">
        <v>43620</v>
      </c>
      <c r="B2009" s="18">
        <v>139000</v>
      </c>
      <c r="C2009" s="14">
        <v>137000</v>
      </c>
      <c r="D2009" s="14">
        <v>140500</v>
      </c>
      <c r="E2009" s="14">
        <v>137000</v>
      </c>
      <c r="F2009" t="s">
        <v>1426</v>
      </c>
      <c r="G2009" s="15">
        <v>3.5999999999999999E-3</v>
      </c>
    </row>
    <row r="2010" spans="1:7" x14ac:dyDescent="0.15">
      <c r="A2010" s="86">
        <v>43619</v>
      </c>
      <c r="B2010" s="18">
        <v>138500</v>
      </c>
      <c r="C2010" s="14">
        <v>134000</v>
      </c>
      <c r="D2010" s="14">
        <v>138500</v>
      </c>
      <c r="E2010" s="14">
        <v>132500</v>
      </c>
      <c r="F2010" t="s">
        <v>1427</v>
      </c>
      <c r="G2010" s="15">
        <v>2.9700000000000001E-2</v>
      </c>
    </row>
    <row r="2011" spans="1:7" x14ac:dyDescent="0.15">
      <c r="A2011" s="86">
        <v>43616</v>
      </c>
      <c r="B2011" s="18">
        <v>134500</v>
      </c>
      <c r="C2011" s="14">
        <v>134500</v>
      </c>
      <c r="D2011" s="14">
        <v>135000</v>
      </c>
      <c r="E2011" s="14">
        <v>131000</v>
      </c>
      <c r="F2011" t="s">
        <v>1428</v>
      </c>
      <c r="G2011" s="15">
        <v>-7.4000000000000003E-3</v>
      </c>
    </row>
    <row r="2012" spans="1:7" x14ac:dyDescent="0.15">
      <c r="A2012" s="86">
        <v>43615</v>
      </c>
      <c r="B2012" s="18">
        <v>135500</v>
      </c>
      <c r="C2012" s="14">
        <v>132500</v>
      </c>
      <c r="D2012" s="14">
        <v>136500</v>
      </c>
      <c r="E2012" s="14">
        <v>132500</v>
      </c>
      <c r="F2012" t="s">
        <v>1429</v>
      </c>
      <c r="G2012" s="15">
        <v>1.12E-2</v>
      </c>
    </row>
    <row r="2013" spans="1:7" x14ac:dyDescent="0.15">
      <c r="A2013" s="86">
        <v>43614</v>
      </c>
      <c r="B2013" s="18">
        <v>134000</v>
      </c>
      <c r="C2013" s="14">
        <v>135000</v>
      </c>
      <c r="D2013" s="14">
        <v>135500</v>
      </c>
      <c r="E2013" s="14">
        <v>131500</v>
      </c>
      <c r="F2013" t="s">
        <v>1430</v>
      </c>
      <c r="G2013" s="15">
        <v>-1.83E-2</v>
      </c>
    </row>
    <row r="2014" spans="1:7" x14ac:dyDescent="0.15">
      <c r="A2014" s="86">
        <v>43613</v>
      </c>
      <c r="B2014" s="18">
        <v>136500</v>
      </c>
      <c r="C2014" s="14">
        <v>135000</v>
      </c>
      <c r="D2014" s="14">
        <v>136500</v>
      </c>
      <c r="E2014" s="14">
        <v>133000</v>
      </c>
      <c r="F2014" t="s">
        <v>223</v>
      </c>
      <c r="G2014" s="15">
        <v>1.11E-2</v>
      </c>
    </row>
    <row r="2015" spans="1:7" x14ac:dyDescent="0.15">
      <c r="A2015" s="86">
        <v>43612</v>
      </c>
      <c r="B2015" s="18">
        <v>135000</v>
      </c>
      <c r="C2015" s="14">
        <v>130000</v>
      </c>
      <c r="D2015" s="14">
        <v>135500</v>
      </c>
      <c r="E2015" s="14">
        <v>130000</v>
      </c>
      <c r="F2015" t="s">
        <v>1431</v>
      </c>
      <c r="G2015" s="15">
        <v>3.4500000000000003E-2</v>
      </c>
    </row>
    <row r="2016" spans="1:7" x14ac:dyDescent="0.15">
      <c r="A2016" s="86">
        <v>43609</v>
      </c>
      <c r="B2016" s="18">
        <v>130500</v>
      </c>
      <c r="C2016" s="14">
        <v>127000</v>
      </c>
      <c r="D2016" s="14">
        <v>130500</v>
      </c>
      <c r="E2016" s="14">
        <v>126000</v>
      </c>
      <c r="F2016" t="s">
        <v>1432</v>
      </c>
      <c r="G2016" s="15">
        <v>2.35E-2</v>
      </c>
    </row>
    <row r="2017" spans="1:7" x14ac:dyDescent="0.15">
      <c r="A2017" s="86">
        <v>43608</v>
      </c>
      <c r="B2017" s="18">
        <v>127500</v>
      </c>
      <c r="C2017" s="14">
        <v>129000</v>
      </c>
      <c r="D2017" s="14">
        <v>129500</v>
      </c>
      <c r="E2017" s="14">
        <v>126500</v>
      </c>
      <c r="F2017" t="s">
        <v>1433</v>
      </c>
      <c r="G2017" s="15">
        <v>3.8999999999999998E-3</v>
      </c>
    </row>
    <row r="2018" spans="1:7" x14ac:dyDescent="0.15">
      <c r="A2018" s="86">
        <v>43607</v>
      </c>
      <c r="B2018" s="18">
        <v>127000</v>
      </c>
      <c r="C2018" s="14">
        <v>127000</v>
      </c>
      <c r="D2018" s="14">
        <v>129000</v>
      </c>
      <c r="E2018" s="14">
        <v>126000</v>
      </c>
      <c r="F2018" t="s">
        <v>1434</v>
      </c>
      <c r="G2018" s="15">
        <v>0</v>
      </c>
    </row>
    <row r="2019" spans="1:7" x14ac:dyDescent="0.15">
      <c r="A2019" s="86">
        <v>43606</v>
      </c>
      <c r="B2019" s="18">
        <v>127000</v>
      </c>
      <c r="C2019" s="14">
        <v>129000</v>
      </c>
      <c r="D2019" s="14">
        <v>129500</v>
      </c>
      <c r="E2019" s="14">
        <v>125000</v>
      </c>
      <c r="F2019" t="s">
        <v>1435</v>
      </c>
      <c r="G2019" s="15">
        <v>-1.55E-2</v>
      </c>
    </row>
    <row r="2020" spans="1:7" x14ac:dyDescent="0.15">
      <c r="A2020" s="86">
        <v>43605</v>
      </c>
      <c r="B2020" s="18">
        <v>129000</v>
      </c>
      <c r="C2020" s="14">
        <v>125500</v>
      </c>
      <c r="D2020" s="14">
        <v>129500</v>
      </c>
      <c r="E2020" s="14">
        <v>125500</v>
      </c>
      <c r="F2020" t="s">
        <v>1436</v>
      </c>
      <c r="G2020" s="15">
        <v>2.7900000000000001E-2</v>
      </c>
    </row>
    <row r="2021" spans="1:7" x14ac:dyDescent="0.15">
      <c r="A2021" s="86">
        <v>43602</v>
      </c>
      <c r="B2021" s="18">
        <v>125500</v>
      </c>
      <c r="C2021" s="14">
        <v>127000</v>
      </c>
      <c r="D2021" s="14">
        <v>128500</v>
      </c>
      <c r="E2021" s="14">
        <v>125000</v>
      </c>
      <c r="F2021" t="s">
        <v>1437</v>
      </c>
      <c r="G2021" s="15">
        <v>-1.5699999999999999E-2</v>
      </c>
    </row>
    <row r="2022" spans="1:7" x14ac:dyDescent="0.15">
      <c r="A2022" s="86">
        <v>43601</v>
      </c>
      <c r="B2022" s="18">
        <v>127500</v>
      </c>
      <c r="C2022" s="14">
        <v>133000</v>
      </c>
      <c r="D2022" s="14">
        <v>135000</v>
      </c>
      <c r="E2022" s="14">
        <v>127000</v>
      </c>
      <c r="F2022" t="s">
        <v>379</v>
      </c>
      <c r="G2022" s="15">
        <v>-3.8999999999999998E-3</v>
      </c>
    </row>
    <row r="2023" spans="1:7" x14ac:dyDescent="0.15">
      <c r="A2023" s="86">
        <v>43600</v>
      </c>
      <c r="B2023" s="18">
        <v>128000</v>
      </c>
      <c r="C2023" s="14">
        <v>127500</v>
      </c>
      <c r="D2023" s="14">
        <v>130000</v>
      </c>
      <c r="E2023" s="14">
        <v>125500</v>
      </c>
      <c r="F2023" t="s">
        <v>1438</v>
      </c>
      <c r="G2023" s="15">
        <v>0</v>
      </c>
    </row>
    <row r="2024" spans="1:7" x14ac:dyDescent="0.15">
      <c r="A2024" s="86">
        <v>43599</v>
      </c>
      <c r="B2024" s="18">
        <v>128000</v>
      </c>
      <c r="C2024" s="14">
        <v>128500</v>
      </c>
      <c r="D2024" s="14">
        <v>129500</v>
      </c>
      <c r="E2024" s="14">
        <v>127000</v>
      </c>
      <c r="F2024" t="s">
        <v>1439</v>
      </c>
      <c r="G2024" s="15">
        <v>-7.7999999999999996E-3</v>
      </c>
    </row>
    <row r="2025" spans="1:7" x14ac:dyDescent="0.15">
      <c r="A2025" s="86">
        <v>43598</v>
      </c>
      <c r="B2025" s="18">
        <v>129000</v>
      </c>
      <c r="C2025" s="14">
        <v>128000</v>
      </c>
      <c r="D2025" s="14">
        <v>131000</v>
      </c>
      <c r="E2025" s="14">
        <v>128000</v>
      </c>
      <c r="F2025" t="s">
        <v>1440</v>
      </c>
      <c r="G2025" s="15">
        <v>-7.7000000000000002E-3</v>
      </c>
    </row>
    <row r="2026" spans="1:7" x14ac:dyDescent="0.15">
      <c r="A2026" s="86">
        <v>43595</v>
      </c>
      <c r="B2026" s="18">
        <v>130000</v>
      </c>
      <c r="C2026" s="14">
        <v>131500</v>
      </c>
      <c r="D2026" s="14">
        <v>134000</v>
      </c>
      <c r="E2026" s="14">
        <v>128000</v>
      </c>
      <c r="F2026" t="s">
        <v>1441</v>
      </c>
      <c r="G2026" s="15">
        <v>-7.6E-3</v>
      </c>
    </row>
    <row r="2027" spans="1:7" x14ac:dyDescent="0.15">
      <c r="A2027" s="86">
        <v>43594</v>
      </c>
      <c r="B2027" s="18">
        <v>131000</v>
      </c>
      <c r="C2027" s="14">
        <v>135000</v>
      </c>
      <c r="D2027" s="14">
        <v>135500</v>
      </c>
      <c r="E2027" s="14">
        <v>131000</v>
      </c>
      <c r="F2027" t="s">
        <v>1442</v>
      </c>
      <c r="G2027" s="15">
        <v>-3.32E-2</v>
      </c>
    </row>
    <row r="2028" spans="1:7" x14ac:dyDescent="0.15">
      <c r="A2028" s="86">
        <v>43593</v>
      </c>
      <c r="B2028" s="18">
        <v>135500</v>
      </c>
      <c r="C2028" s="14">
        <v>134500</v>
      </c>
      <c r="D2028" s="14">
        <v>136000</v>
      </c>
      <c r="E2028" s="14">
        <v>134000</v>
      </c>
      <c r="F2028" t="s">
        <v>1443</v>
      </c>
      <c r="G2028" s="15">
        <v>-3.7000000000000002E-3</v>
      </c>
    </row>
    <row r="2029" spans="1:7" x14ac:dyDescent="0.15">
      <c r="A2029" s="86">
        <v>43592</v>
      </c>
      <c r="B2029" s="18">
        <v>136000</v>
      </c>
      <c r="C2029" s="14">
        <v>134500</v>
      </c>
      <c r="D2029" s="14">
        <v>137000</v>
      </c>
      <c r="E2029" s="14">
        <v>134000</v>
      </c>
      <c r="F2029" t="s">
        <v>1444</v>
      </c>
      <c r="G2029" s="15">
        <v>-1.09E-2</v>
      </c>
    </row>
    <row r="2030" spans="1:7" x14ac:dyDescent="0.15">
      <c r="A2030" s="86">
        <v>43588</v>
      </c>
      <c r="B2030" s="18">
        <v>137500</v>
      </c>
      <c r="C2030" s="14">
        <v>137500</v>
      </c>
      <c r="D2030" s="14">
        <v>138500</v>
      </c>
      <c r="E2030" s="14">
        <v>136500</v>
      </c>
      <c r="F2030" t="s">
        <v>1445</v>
      </c>
      <c r="G2030" s="15">
        <v>-7.1999999999999998E-3</v>
      </c>
    </row>
    <row r="2031" spans="1:7" x14ac:dyDescent="0.15">
      <c r="A2031" s="86">
        <v>43587</v>
      </c>
      <c r="B2031" s="18">
        <v>138500</v>
      </c>
      <c r="C2031" s="14">
        <v>138000</v>
      </c>
      <c r="D2031" s="14">
        <v>140500</v>
      </c>
      <c r="E2031" s="14">
        <v>137000</v>
      </c>
      <c r="F2031" t="s">
        <v>1446</v>
      </c>
      <c r="G2031" s="15">
        <v>0</v>
      </c>
    </row>
    <row r="2032" spans="1:7" x14ac:dyDescent="0.15">
      <c r="A2032" s="86">
        <v>43585</v>
      </c>
      <c r="B2032" s="18">
        <v>138500</v>
      </c>
      <c r="C2032" s="14">
        <v>139500</v>
      </c>
      <c r="D2032" s="14">
        <v>140500</v>
      </c>
      <c r="E2032" s="14">
        <v>138000</v>
      </c>
      <c r="F2032" t="s">
        <v>1447</v>
      </c>
      <c r="G2032" s="15">
        <v>-3.5999999999999999E-3</v>
      </c>
    </row>
    <row r="2033" spans="1:7" x14ac:dyDescent="0.15">
      <c r="A2033" s="86">
        <v>43584</v>
      </c>
      <c r="B2033" s="18">
        <v>139000</v>
      </c>
      <c r="C2033" s="14">
        <v>136500</v>
      </c>
      <c r="D2033" s="14">
        <v>139500</v>
      </c>
      <c r="E2033" s="14">
        <v>136500</v>
      </c>
      <c r="F2033" t="s">
        <v>1448</v>
      </c>
      <c r="G2033" s="15">
        <v>2.58E-2</v>
      </c>
    </row>
    <row r="2034" spans="1:7" x14ac:dyDescent="0.15">
      <c r="A2034" s="86">
        <v>43581</v>
      </c>
      <c r="B2034" s="18">
        <v>135500</v>
      </c>
      <c r="C2034" s="14">
        <v>138000</v>
      </c>
      <c r="D2034" s="14">
        <v>138500</v>
      </c>
      <c r="E2034" s="14">
        <v>134500</v>
      </c>
      <c r="F2034" t="s">
        <v>1449</v>
      </c>
      <c r="G2034" s="15">
        <v>-1.8100000000000002E-2</v>
      </c>
    </row>
    <row r="2035" spans="1:7" x14ac:dyDescent="0.15">
      <c r="A2035" s="86">
        <v>43580</v>
      </c>
      <c r="B2035" s="18">
        <v>138000</v>
      </c>
      <c r="C2035" s="14">
        <v>138500</v>
      </c>
      <c r="D2035" s="14">
        <v>139000</v>
      </c>
      <c r="E2035" s="14">
        <v>136500</v>
      </c>
      <c r="F2035" t="s">
        <v>1450</v>
      </c>
      <c r="G2035" s="15">
        <v>-3.5999999999999999E-3</v>
      </c>
    </row>
    <row r="2036" spans="1:7" x14ac:dyDescent="0.15">
      <c r="A2036" s="86">
        <v>43579</v>
      </c>
      <c r="B2036" s="18">
        <v>138500</v>
      </c>
      <c r="C2036" s="14">
        <v>139000</v>
      </c>
      <c r="D2036" s="14">
        <v>140000</v>
      </c>
      <c r="E2036" s="14">
        <v>136000</v>
      </c>
      <c r="F2036" t="s">
        <v>127</v>
      </c>
      <c r="G2036" s="15">
        <v>1.84E-2</v>
      </c>
    </row>
    <row r="2037" spans="1:7" x14ac:dyDescent="0.15">
      <c r="A2037" s="86">
        <v>43578</v>
      </c>
      <c r="B2037" s="18">
        <v>136000</v>
      </c>
      <c r="C2037" s="14">
        <v>134000</v>
      </c>
      <c r="D2037" s="14">
        <v>137000</v>
      </c>
      <c r="E2037" s="14">
        <v>133000</v>
      </c>
      <c r="F2037" t="s">
        <v>1451</v>
      </c>
      <c r="G2037" s="15">
        <v>1.49E-2</v>
      </c>
    </row>
    <row r="2038" spans="1:7" x14ac:dyDescent="0.15">
      <c r="A2038" s="86">
        <v>43577</v>
      </c>
      <c r="B2038" s="18">
        <v>134000</v>
      </c>
      <c r="C2038" s="14">
        <v>133000</v>
      </c>
      <c r="D2038" s="14">
        <v>134500</v>
      </c>
      <c r="E2038" s="14">
        <v>132000</v>
      </c>
      <c r="F2038" t="s">
        <v>1452</v>
      </c>
      <c r="G2038" s="15">
        <v>0</v>
      </c>
    </row>
    <row r="2039" spans="1:7" x14ac:dyDescent="0.15">
      <c r="A2039" s="86">
        <v>43574</v>
      </c>
      <c r="B2039" s="18">
        <v>134000</v>
      </c>
      <c r="C2039" s="14">
        <v>135000</v>
      </c>
      <c r="D2039" s="14">
        <v>135500</v>
      </c>
      <c r="E2039" s="14">
        <v>133000</v>
      </c>
      <c r="F2039" t="s">
        <v>1453</v>
      </c>
      <c r="G2039" s="15">
        <v>0</v>
      </c>
    </row>
    <row r="2040" spans="1:7" x14ac:dyDescent="0.15">
      <c r="A2040" s="86">
        <v>43573</v>
      </c>
      <c r="B2040" s="18">
        <v>134000</v>
      </c>
      <c r="C2040" s="14">
        <v>133500</v>
      </c>
      <c r="D2040" s="14">
        <v>137000</v>
      </c>
      <c r="E2040" s="14">
        <v>132500</v>
      </c>
      <c r="F2040" t="s">
        <v>1259</v>
      </c>
      <c r="G2040" s="15">
        <v>2.29E-2</v>
      </c>
    </row>
    <row r="2041" spans="1:7" x14ac:dyDescent="0.15">
      <c r="A2041" s="86">
        <v>43572</v>
      </c>
      <c r="B2041" s="18">
        <v>131000</v>
      </c>
      <c r="C2041" s="14">
        <v>128500</v>
      </c>
      <c r="D2041" s="14">
        <v>131000</v>
      </c>
      <c r="E2041" s="14">
        <v>127500</v>
      </c>
      <c r="F2041" t="s">
        <v>1454</v>
      </c>
      <c r="G2041" s="15">
        <v>1.95E-2</v>
      </c>
    </row>
    <row r="2042" spans="1:7" x14ac:dyDescent="0.15">
      <c r="A2042" s="86">
        <v>43571</v>
      </c>
      <c r="B2042" s="18">
        <v>128500</v>
      </c>
      <c r="C2042" s="14">
        <v>126500</v>
      </c>
      <c r="D2042" s="14">
        <v>130500</v>
      </c>
      <c r="E2042" s="14">
        <v>125500</v>
      </c>
      <c r="F2042" t="s">
        <v>1455</v>
      </c>
      <c r="G2042" s="15">
        <v>2.3900000000000001E-2</v>
      </c>
    </row>
    <row r="2043" spans="1:7" x14ac:dyDescent="0.15">
      <c r="A2043" s="86">
        <v>43570</v>
      </c>
      <c r="B2043" s="18">
        <v>125500</v>
      </c>
      <c r="C2043" s="14">
        <v>126000</v>
      </c>
      <c r="D2043" s="14">
        <v>127000</v>
      </c>
      <c r="E2043" s="14">
        <v>125000</v>
      </c>
      <c r="F2043" t="s">
        <v>1456</v>
      </c>
      <c r="G2043" s="15">
        <v>-7.9000000000000008E-3</v>
      </c>
    </row>
    <row r="2044" spans="1:7" x14ac:dyDescent="0.15">
      <c r="A2044" s="86">
        <v>43567</v>
      </c>
      <c r="B2044" s="18">
        <v>126500</v>
      </c>
      <c r="C2044" s="14">
        <v>127000</v>
      </c>
      <c r="D2044" s="14">
        <v>128000</v>
      </c>
      <c r="E2044" s="14">
        <v>125500</v>
      </c>
      <c r="F2044" t="s">
        <v>1457</v>
      </c>
      <c r="G2044" s="15">
        <v>-1.17E-2</v>
      </c>
    </row>
    <row r="2045" spans="1:7" x14ac:dyDescent="0.15">
      <c r="A2045" s="86">
        <v>43566</v>
      </c>
      <c r="B2045" s="18">
        <v>128000</v>
      </c>
      <c r="C2045" s="14">
        <v>127500</v>
      </c>
      <c r="D2045" s="14">
        <v>128000</v>
      </c>
      <c r="E2045" s="14">
        <v>125500</v>
      </c>
      <c r="F2045" t="s">
        <v>1458</v>
      </c>
      <c r="G2045" s="15">
        <v>3.8999999999999998E-3</v>
      </c>
    </row>
    <row r="2046" spans="1:7" x14ac:dyDescent="0.15">
      <c r="A2046" s="86">
        <v>43565</v>
      </c>
      <c r="B2046" s="18">
        <v>127500</v>
      </c>
      <c r="C2046" s="14">
        <v>126500</v>
      </c>
      <c r="D2046" s="14">
        <v>128500</v>
      </c>
      <c r="E2046" s="14">
        <v>126500</v>
      </c>
      <c r="F2046" t="s">
        <v>1459</v>
      </c>
      <c r="G2046" s="15">
        <v>3.8999999999999998E-3</v>
      </c>
    </row>
    <row r="2047" spans="1:7" x14ac:dyDescent="0.15">
      <c r="A2047" s="86">
        <v>43564</v>
      </c>
      <c r="B2047" s="18">
        <v>127000</v>
      </c>
      <c r="C2047" s="14">
        <v>125500</v>
      </c>
      <c r="D2047" s="14">
        <v>128000</v>
      </c>
      <c r="E2047" s="14">
        <v>125500</v>
      </c>
      <c r="F2047" t="s">
        <v>1460</v>
      </c>
      <c r="G2047" s="15">
        <v>-7.7999999999999996E-3</v>
      </c>
    </row>
    <row r="2048" spans="1:7" x14ac:dyDescent="0.15">
      <c r="A2048" s="86">
        <v>43563</v>
      </c>
      <c r="B2048" s="18">
        <v>128000</v>
      </c>
      <c r="C2048" s="14">
        <v>126500</v>
      </c>
      <c r="D2048" s="14">
        <v>128500</v>
      </c>
      <c r="E2048" s="14">
        <v>125500</v>
      </c>
      <c r="F2048" t="s">
        <v>1461</v>
      </c>
      <c r="G2048" s="15">
        <v>1.5900000000000001E-2</v>
      </c>
    </row>
    <row r="2049" spans="1:7" x14ac:dyDescent="0.15">
      <c r="A2049" s="86">
        <v>43560</v>
      </c>
      <c r="B2049" s="18">
        <v>126000</v>
      </c>
      <c r="C2049" s="14">
        <v>124500</v>
      </c>
      <c r="D2049" s="14">
        <v>126500</v>
      </c>
      <c r="E2049" s="14">
        <v>124000</v>
      </c>
      <c r="F2049" t="s">
        <v>1462</v>
      </c>
      <c r="G2049" s="15">
        <v>2.0199999999999999E-2</v>
      </c>
    </row>
    <row r="2050" spans="1:7" x14ac:dyDescent="0.15">
      <c r="A2050" s="86">
        <v>43559</v>
      </c>
      <c r="B2050" s="18">
        <v>123500</v>
      </c>
      <c r="C2050" s="14">
        <v>123000</v>
      </c>
      <c r="D2050" s="14">
        <v>125000</v>
      </c>
      <c r="E2050" s="14">
        <v>122500</v>
      </c>
      <c r="F2050" t="s">
        <v>1463</v>
      </c>
      <c r="G2050" s="15">
        <v>-4.0000000000000001E-3</v>
      </c>
    </row>
    <row r="2051" spans="1:7" x14ac:dyDescent="0.15">
      <c r="A2051" s="86">
        <v>43558</v>
      </c>
      <c r="B2051" s="18">
        <v>124000</v>
      </c>
      <c r="C2051" s="14">
        <v>118500</v>
      </c>
      <c r="D2051" s="14">
        <v>124000</v>
      </c>
      <c r="E2051" s="14">
        <v>118000</v>
      </c>
      <c r="F2051" t="s">
        <v>1464</v>
      </c>
      <c r="G2051" s="15">
        <v>4.2000000000000003E-2</v>
      </c>
    </row>
    <row r="2052" spans="1:7" x14ac:dyDescent="0.15">
      <c r="A2052" s="86">
        <v>43557</v>
      </c>
      <c r="B2052" s="18">
        <v>119000</v>
      </c>
      <c r="C2052" s="14">
        <v>119500</v>
      </c>
      <c r="D2052" s="14">
        <v>120000</v>
      </c>
      <c r="E2052" s="14">
        <v>117500</v>
      </c>
      <c r="F2052" t="s">
        <v>1465</v>
      </c>
      <c r="G2052" s="15">
        <v>-1.24E-2</v>
      </c>
    </row>
    <row r="2053" spans="1:7" x14ac:dyDescent="0.15">
      <c r="A2053" s="86">
        <v>43556</v>
      </c>
      <c r="B2053" s="18">
        <v>120500</v>
      </c>
      <c r="C2053" s="14">
        <v>120000</v>
      </c>
      <c r="D2053" s="14">
        <v>121000</v>
      </c>
      <c r="E2053" s="14">
        <v>119000</v>
      </c>
      <c r="F2053" t="s">
        <v>1466</v>
      </c>
      <c r="G2053" s="15">
        <v>8.3999999999999995E-3</v>
      </c>
    </row>
    <row r="2054" spans="1:7" x14ac:dyDescent="0.15">
      <c r="A2054" s="86">
        <v>43553</v>
      </c>
      <c r="B2054" s="18">
        <v>119500</v>
      </c>
      <c r="C2054" s="14">
        <v>120000</v>
      </c>
      <c r="D2054" s="14">
        <v>122000</v>
      </c>
      <c r="E2054" s="14">
        <v>119000</v>
      </c>
      <c r="F2054" t="s">
        <v>1467</v>
      </c>
      <c r="G2054" s="15">
        <v>0</v>
      </c>
    </row>
    <row r="2055" spans="1:7" x14ac:dyDescent="0.15">
      <c r="A2055" s="86">
        <v>43552</v>
      </c>
      <c r="B2055" s="18">
        <v>119500</v>
      </c>
      <c r="C2055" s="14">
        <v>118500</v>
      </c>
      <c r="D2055" s="14">
        <v>120000</v>
      </c>
      <c r="E2055" s="14">
        <v>118000</v>
      </c>
      <c r="F2055" t="s">
        <v>1468</v>
      </c>
      <c r="G2055" s="15">
        <v>8.3999999999999995E-3</v>
      </c>
    </row>
    <row r="2056" spans="1:7" x14ac:dyDescent="0.15">
      <c r="A2056" s="86">
        <v>43551</v>
      </c>
      <c r="B2056" s="18">
        <v>118500</v>
      </c>
      <c r="C2056" s="14">
        <v>118500</v>
      </c>
      <c r="D2056" s="14">
        <v>119500</v>
      </c>
      <c r="E2056" s="14">
        <v>118000</v>
      </c>
      <c r="F2056" t="s">
        <v>1469</v>
      </c>
      <c r="G2056" s="15">
        <v>0</v>
      </c>
    </row>
    <row r="2057" spans="1:7" x14ac:dyDescent="0.15">
      <c r="A2057" s="86">
        <v>43550</v>
      </c>
      <c r="B2057" s="18">
        <v>118500</v>
      </c>
      <c r="C2057" s="14">
        <v>120000</v>
      </c>
      <c r="D2057" s="14">
        <v>121000</v>
      </c>
      <c r="E2057" s="14">
        <v>118500</v>
      </c>
      <c r="F2057" t="s">
        <v>1470</v>
      </c>
      <c r="G2057" s="15">
        <v>-1.2500000000000001E-2</v>
      </c>
    </row>
    <row r="2058" spans="1:7" x14ac:dyDescent="0.15">
      <c r="A2058" s="86">
        <v>43549</v>
      </c>
      <c r="B2058" s="18">
        <v>120000</v>
      </c>
      <c r="C2058" s="14">
        <v>121000</v>
      </c>
      <c r="D2058" s="14">
        <v>122000</v>
      </c>
      <c r="E2058" s="14">
        <v>119000</v>
      </c>
      <c r="F2058" t="s">
        <v>1471</v>
      </c>
      <c r="G2058" s="15">
        <v>-2.8299999999999999E-2</v>
      </c>
    </row>
    <row r="2059" spans="1:7" x14ac:dyDescent="0.15">
      <c r="A2059" s="86">
        <v>43546</v>
      </c>
      <c r="B2059" s="18">
        <v>123500</v>
      </c>
      <c r="C2059" s="14">
        <v>124000</v>
      </c>
      <c r="D2059" s="14">
        <v>125500</v>
      </c>
      <c r="E2059" s="14">
        <v>121500</v>
      </c>
      <c r="F2059" t="s">
        <v>1472</v>
      </c>
      <c r="G2059" s="15">
        <v>-8.0000000000000002E-3</v>
      </c>
    </row>
    <row r="2060" spans="1:7" x14ac:dyDescent="0.15">
      <c r="A2060" s="86">
        <v>43545</v>
      </c>
      <c r="B2060" s="18">
        <v>124500</v>
      </c>
      <c r="C2060" s="14">
        <v>124000</v>
      </c>
      <c r="D2060" s="14">
        <v>126000</v>
      </c>
      <c r="E2060" s="14">
        <v>122500</v>
      </c>
      <c r="F2060" t="s">
        <v>1473</v>
      </c>
      <c r="G2060" s="15">
        <v>4.0000000000000001E-3</v>
      </c>
    </row>
    <row r="2061" spans="1:7" x14ac:dyDescent="0.15">
      <c r="A2061" s="86">
        <v>43544</v>
      </c>
      <c r="B2061" s="18">
        <v>124000</v>
      </c>
      <c r="C2061" s="14">
        <v>123000</v>
      </c>
      <c r="D2061" s="14">
        <v>124000</v>
      </c>
      <c r="E2061" s="14">
        <v>121000</v>
      </c>
      <c r="F2061" t="s">
        <v>1474</v>
      </c>
      <c r="G2061" s="15">
        <v>0</v>
      </c>
    </row>
    <row r="2062" spans="1:7" x14ac:dyDescent="0.15">
      <c r="A2062" s="86">
        <v>43543</v>
      </c>
      <c r="B2062" s="18">
        <v>124000</v>
      </c>
      <c r="C2062" s="14">
        <v>124000</v>
      </c>
      <c r="D2062" s="14">
        <v>125000</v>
      </c>
      <c r="E2062" s="14">
        <v>123000</v>
      </c>
      <c r="F2062" t="s">
        <v>1475</v>
      </c>
      <c r="G2062" s="15">
        <v>0</v>
      </c>
    </row>
    <row r="2063" spans="1:7" x14ac:dyDescent="0.15">
      <c r="A2063" s="86">
        <v>43542</v>
      </c>
      <c r="B2063" s="18">
        <v>124000</v>
      </c>
      <c r="C2063" s="14">
        <v>122000</v>
      </c>
      <c r="D2063" s="14">
        <v>124000</v>
      </c>
      <c r="E2063" s="14">
        <v>121500</v>
      </c>
      <c r="F2063" t="s">
        <v>1476</v>
      </c>
      <c r="G2063" s="15">
        <v>2.4799999999999999E-2</v>
      </c>
    </row>
    <row r="2064" spans="1:7" x14ac:dyDescent="0.15">
      <c r="A2064" s="86">
        <v>43539</v>
      </c>
      <c r="B2064" s="18">
        <v>121000</v>
      </c>
      <c r="C2064" s="14">
        <v>119000</v>
      </c>
      <c r="D2064" s="14">
        <v>122000</v>
      </c>
      <c r="E2064" s="14">
        <v>118000</v>
      </c>
      <c r="F2064" t="s">
        <v>1477</v>
      </c>
      <c r="G2064" s="15">
        <v>1.6799999999999999E-2</v>
      </c>
    </row>
    <row r="2065" spans="1:7" x14ac:dyDescent="0.15">
      <c r="A2065" s="86">
        <v>43538</v>
      </c>
      <c r="B2065" s="18">
        <v>119000</v>
      </c>
      <c r="C2065" s="14">
        <v>124000</v>
      </c>
      <c r="D2065" s="14">
        <v>124000</v>
      </c>
      <c r="E2065" s="14">
        <v>117000</v>
      </c>
      <c r="F2065" t="s">
        <v>1286</v>
      </c>
      <c r="G2065" s="15">
        <v>-2.86E-2</v>
      </c>
    </row>
    <row r="2066" spans="1:7" x14ac:dyDescent="0.15">
      <c r="A2066" s="86">
        <v>43537</v>
      </c>
      <c r="B2066" s="18">
        <v>122500</v>
      </c>
      <c r="C2066" s="14">
        <v>126000</v>
      </c>
      <c r="D2066" s="14">
        <v>126000</v>
      </c>
      <c r="E2066" s="14">
        <v>120500</v>
      </c>
      <c r="F2066" t="s">
        <v>1478</v>
      </c>
      <c r="G2066" s="15">
        <v>-2.3900000000000001E-2</v>
      </c>
    </row>
    <row r="2067" spans="1:7" x14ac:dyDescent="0.15">
      <c r="A2067" s="86">
        <v>43536</v>
      </c>
      <c r="B2067" s="18">
        <v>125500</v>
      </c>
      <c r="C2067" s="14">
        <v>121500</v>
      </c>
      <c r="D2067" s="14">
        <v>125500</v>
      </c>
      <c r="E2067" s="14">
        <v>121500</v>
      </c>
      <c r="F2067" t="s">
        <v>1479</v>
      </c>
      <c r="G2067" s="15">
        <v>3.7199999999999997E-2</v>
      </c>
    </row>
    <row r="2068" spans="1:7" x14ac:dyDescent="0.15">
      <c r="A2068" s="86">
        <v>43535</v>
      </c>
      <c r="B2068" s="18">
        <v>121000</v>
      </c>
      <c r="C2068" s="14">
        <v>121000</v>
      </c>
      <c r="D2068" s="14">
        <v>121500</v>
      </c>
      <c r="E2068" s="14">
        <v>119000</v>
      </c>
      <c r="F2068" t="s">
        <v>1480</v>
      </c>
      <c r="G2068" s="15">
        <v>8.3000000000000001E-3</v>
      </c>
    </row>
    <row r="2069" spans="1:7" x14ac:dyDescent="0.15">
      <c r="A2069" s="86">
        <v>43532</v>
      </c>
      <c r="B2069" s="18">
        <v>120000</v>
      </c>
      <c r="C2069" s="14">
        <v>125000</v>
      </c>
      <c r="D2069" s="14">
        <v>125000</v>
      </c>
      <c r="E2069" s="14">
        <v>120000</v>
      </c>
      <c r="F2069" t="s">
        <v>1481</v>
      </c>
      <c r="G2069" s="15">
        <v>-4.3799999999999999E-2</v>
      </c>
    </row>
    <row r="2070" spans="1:7" x14ac:dyDescent="0.15">
      <c r="A2070" s="86">
        <v>43531</v>
      </c>
      <c r="B2070" s="18">
        <v>125500</v>
      </c>
      <c r="C2070" s="14">
        <v>126500</v>
      </c>
      <c r="D2070" s="14">
        <v>129000</v>
      </c>
      <c r="E2070" s="14">
        <v>123000</v>
      </c>
      <c r="F2070" t="s">
        <v>1482</v>
      </c>
      <c r="G2070" s="15">
        <v>8.0000000000000002E-3</v>
      </c>
    </row>
    <row r="2071" spans="1:7" x14ac:dyDescent="0.15">
      <c r="A2071" s="86">
        <v>43530</v>
      </c>
      <c r="B2071" s="18">
        <v>124500</v>
      </c>
      <c r="C2071" s="14">
        <v>122500</v>
      </c>
      <c r="D2071" s="14">
        <v>126500</v>
      </c>
      <c r="E2071" s="14">
        <v>121500</v>
      </c>
      <c r="F2071" t="s">
        <v>1483</v>
      </c>
      <c r="G2071" s="15">
        <v>2.47E-2</v>
      </c>
    </row>
    <row r="2072" spans="1:7" x14ac:dyDescent="0.15">
      <c r="A2072" s="86">
        <v>43529</v>
      </c>
      <c r="B2072" s="18">
        <v>121500</v>
      </c>
      <c r="C2072" s="14">
        <v>121500</v>
      </c>
      <c r="D2072" s="14">
        <v>122000</v>
      </c>
      <c r="E2072" s="14">
        <v>119500</v>
      </c>
      <c r="F2072" t="s">
        <v>1484</v>
      </c>
      <c r="G2072" s="15">
        <v>-4.1000000000000003E-3</v>
      </c>
    </row>
    <row r="2073" spans="1:7" x14ac:dyDescent="0.15">
      <c r="A2073" s="86">
        <v>43528</v>
      </c>
      <c r="B2073" s="18">
        <v>122000</v>
      </c>
      <c r="C2073" s="14">
        <v>125000</v>
      </c>
      <c r="D2073" s="14">
        <v>126000</v>
      </c>
      <c r="E2073" s="14">
        <v>121000</v>
      </c>
      <c r="F2073" t="s">
        <v>1485</v>
      </c>
      <c r="G2073" s="15">
        <v>-3.56E-2</v>
      </c>
    </row>
    <row r="2074" spans="1:7" x14ac:dyDescent="0.15">
      <c r="A2074" s="86">
        <v>43524</v>
      </c>
      <c r="B2074" s="18">
        <v>126500</v>
      </c>
      <c r="C2074" s="14">
        <v>127500</v>
      </c>
      <c r="D2074" s="14">
        <v>129000</v>
      </c>
      <c r="E2074" s="14">
        <v>126000</v>
      </c>
      <c r="F2074" t="s">
        <v>1486</v>
      </c>
      <c r="G2074" s="15">
        <v>-1.9400000000000001E-2</v>
      </c>
    </row>
    <row r="2075" spans="1:7" x14ac:dyDescent="0.15">
      <c r="A2075" s="86">
        <v>43523</v>
      </c>
      <c r="B2075" s="18">
        <v>129000</v>
      </c>
      <c r="C2075" s="14">
        <v>128000</v>
      </c>
      <c r="D2075" s="14">
        <v>130000</v>
      </c>
      <c r="E2075" s="14">
        <v>126000</v>
      </c>
      <c r="F2075" t="s">
        <v>154</v>
      </c>
      <c r="G2075" s="15">
        <v>5.3100000000000001E-2</v>
      </c>
    </row>
    <row r="2076" spans="1:7" x14ac:dyDescent="0.15">
      <c r="A2076" s="86">
        <v>43522</v>
      </c>
      <c r="B2076" s="18">
        <v>122500</v>
      </c>
      <c r="C2076" s="14">
        <v>121500</v>
      </c>
      <c r="D2076" s="14">
        <v>124000</v>
      </c>
      <c r="E2076" s="14">
        <v>121500</v>
      </c>
      <c r="F2076" t="s">
        <v>1487</v>
      </c>
      <c r="G2076" s="15">
        <v>1.24E-2</v>
      </c>
    </row>
    <row r="2077" spans="1:7" x14ac:dyDescent="0.15">
      <c r="A2077" s="86">
        <v>43521</v>
      </c>
      <c r="B2077" s="18">
        <v>121000</v>
      </c>
      <c r="C2077" s="14">
        <v>120500</v>
      </c>
      <c r="D2077" s="14">
        <v>122500</v>
      </c>
      <c r="E2077" s="14">
        <v>120000</v>
      </c>
      <c r="F2077" t="s">
        <v>1488</v>
      </c>
      <c r="G2077" s="15">
        <v>0</v>
      </c>
    </row>
    <row r="2078" spans="1:7" x14ac:dyDescent="0.15">
      <c r="A2078" s="86">
        <v>43518</v>
      </c>
      <c r="B2078" s="18">
        <v>121000</v>
      </c>
      <c r="C2078" s="14">
        <v>119500</v>
      </c>
      <c r="D2078" s="14">
        <v>121500</v>
      </c>
      <c r="E2078" s="14">
        <v>119500</v>
      </c>
      <c r="F2078" t="s">
        <v>1489</v>
      </c>
      <c r="G2078" s="15">
        <v>8.3000000000000001E-3</v>
      </c>
    </row>
    <row r="2079" spans="1:7" x14ac:dyDescent="0.15">
      <c r="A2079" s="86">
        <v>43517</v>
      </c>
      <c r="B2079" s="18">
        <v>120000</v>
      </c>
      <c r="C2079" s="14">
        <v>118500</v>
      </c>
      <c r="D2079" s="14">
        <v>121000</v>
      </c>
      <c r="E2079" s="14">
        <v>118500</v>
      </c>
      <c r="F2079" t="s">
        <v>1490</v>
      </c>
      <c r="G2079" s="15">
        <v>8.3999999999999995E-3</v>
      </c>
    </row>
    <row r="2080" spans="1:7" x14ac:dyDescent="0.15">
      <c r="A2080" s="86">
        <v>43516</v>
      </c>
      <c r="B2080" s="18">
        <v>119000</v>
      </c>
      <c r="C2080" s="14">
        <v>119500</v>
      </c>
      <c r="D2080" s="14">
        <v>121500</v>
      </c>
      <c r="E2080" s="14">
        <v>119000</v>
      </c>
      <c r="F2080" t="s">
        <v>1491</v>
      </c>
      <c r="G2080" s="15">
        <v>-4.1999999999999997E-3</v>
      </c>
    </row>
    <row r="2081" spans="1:7" x14ac:dyDescent="0.15">
      <c r="A2081" s="86">
        <v>43515</v>
      </c>
      <c r="B2081" s="18">
        <v>119500</v>
      </c>
      <c r="C2081" s="14">
        <v>119500</v>
      </c>
      <c r="D2081" s="14">
        <v>120500</v>
      </c>
      <c r="E2081" s="14">
        <v>119000</v>
      </c>
      <c r="F2081" t="s">
        <v>1492</v>
      </c>
      <c r="G2081" s="15">
        <v>-8.3000000000000001E-3</v>
      </c>
    </row>
    <row r="2082" spans="1:7" x14ac:dyDescent="0.15">
      <c r="A2082" s="86">
        <v>43514</v>
      </c>
      <c r="B2082" s="18">
        <v>120500</v>
      </c>
      <c r="C2082" s="14">
        <v>121000</v>
      </c>
      <c r="D2082" s="14">
        <v>122000</v>
      </c>
      <c r="E2082" s="14">
        <v>118500</v>
      </c>
      <c r="F2082" t="s">
        <v>1493</v>
      </c>
      <c r="G2082" s="15">
        <v>-4.1000000000000003E-3</v>
      </c>
    </row>
    <row r="2083" spans="1:7" x14ac:dyDescent="0.15">
      <c r="A2083" s="86">
        <v>43511</v>
      </c>
      <c r="B2083" s="18">
        <v>121000</v>
      </c>
      <c r="C2083" s="14">
        <v>121000</v>
      </c>
      <c r="D2083" s="14">
        <v>121500</v>
      </c>
      <c r="E2083" s="14">
        <v>120000</v>
      </c>
      <c r="F2083" t="s">
        <v>1494</v>
      </c>
      <c r="G2083" s="15">
        <v>-4.1000000000000003E-3</v>
      </c>
    </row>
    <row r="2084" spans="1:7" x14ac:dyDescent="0.15">
      <c r="A2084" s="86">
        <v>43510</v>
      </c>
      <c r="B2084" s="18">
        <v>121500</v>
      </c>
      <c r="C2084" s="14">
        <v>123500</v>
      </c>
      <c r="D2084" s="14">
        <v>124000</v>
      </c>
      <c r="E2084" s="14">
        <v>119500</v>
      </c>
      <c r="F2084" t="s">
        <v>416</v>
      </c>
      <c r="G2084" s="15">
        <v>-2.41E-2</v>
      </c>
    </row>
    <row r="2085" spans="1:7" x14ac:dyDescent="0.15">
      <c r="A2085" s="86">
        <v>43509</v>
      </c>
      <c r="B2085" s="18">
        <v>124500</v>
      </c>
      <c r="C2085" s="14">
        <v>128500</v>
      </c>
      <c r="D2085" s="14">
        <v>128500</v>
      </c>
      <c r="E2085" s="14">
        <v>124000</v>
      </c>
      <c r="F2085" t="s">
        <v>1495</v>
      </c>
      <c r="G2085" s="15">
        <v>-3.1099999999999999E-2</v>
      </c>
    </row>
    <row r="2086" spans="1:7" x14ac:dyDescent="0.15">
      <c r="A2086" s="86">
        <v>43508</v>
      </c>
      <c r="B2086" s="18">
        <v>128500</v>
      </c>
      <c r="C2086" s="14">
        <v>129000</v>
      </c>
      <c r="D2086" s="14">
        <v>129000</v>
      </c>
      <c r="E2086" s="14">
        <v>126500</v>
      </c>
      <c r="F2086" t="s">
        <v>1496</v>
      </c>
      <c r="G2086" s="15">
        <v>7.7999999999999996E-3</v>
      </c>
    </row>
    <row r="2087" spans="1:7" x14ac:dyDescent="0.15">
      <c r="A2087" s="86">
        <v>43507</v>
      </c>
      <c r="B2087" s="18">
        <v>127500</v>
      </c>
      <c r="C2087" s="14">
        <v>126000</v>
      </c>
      <c r="D2087" s="14">
        <v>129000</v>
      </c>
      <c r="E2087" s="14">
        <v>126000</v>
      </c>
      <c r="F2087" t="s">
        <v>1497</v>
      </c>
      <c r="G2087" s="15">
        <v>1.5900000000000001E-2</v>
      </c>
    </row>
    <row r="2088" spans="1:7" x14ac:dyDescent="0.15">
      <c r="A2088" s="86">
        <v>43504</v>
      </c>
      <c r="B2088" s="18">
        <v>125500</v>
      </c>
      <c r="C2088" s="14">
        <v>125500</v>
      </c>
      <c r="D2088" s="14">
        <v>126500</v>
      </c>
      <c r="E2088" s="14">
        <v>124500</v>
      </c>
      <c r="F2088" t="s">
        <v>1498</v>
      </c>
      <c r="G2088" s="15">
        <v>-4.0000000000000001E-3</v>
      </c>
    </row>
    <row r="2089" spans="1:7" x14ac:dyDescent="0.15">
      <c r="A2089" s="86">
        <v>43503</v>
      </c>
      <c r="B2089" s="18">
        <v>126000</v>
      </c>
      <c r="C2089" s="14">
        <v>128500</v>
      </c>
      <c r="D2089" s="14">
        <v>129000</v>
      </c>
      <c r="E2089" s="14">
        <v>125500</v>
      </c>
      <c r="F2089" t="s">
        <v>1499</v>
      </c>
      <c r="G2089" s="15">
        <v>-2.7E-2</v>
      </c>
    </row>
    <row r="2090" spans="1:7" x14ac:dyDescent="0.15">
      <c r="A2090" s="86">
        <v>43497</v>
      </c>
      <c r="B2090" s="18">
        <v>129500</v>
      </c>
      <c r="C2090" s="14">
        <v>129500</v>
      </c>
      <c r="D2090" s="14">
        <v>130000</v>
      </c>
      <c r="E2090" s="14">
        <v>128500</v>
      </c>
      <c r="F2090" t="s">
        <v>1500</v>
      </c>
      <c r="G2090" s="15">
        <v>0</v>
      </c>
    </row>
    <row r="2091" spans="1:7" x14ac:dyDescent="0.15">
      <c r="A2091" s="86">
        <v>43496</v>
      </c>
      <c r="B2091" s="18">
        <v>129500</v>
      </c>
      <c r="C2091" s="14">
        <v>130000</v>
      </c>
      <c r="D2091" s="14">
        <v>131000</v>
      </c>
      <c r="E2091" s="14">
        <v>128500</v>
      </c>
      <c r="F2091" t="s">
        <v>1501</v>
      </c>
      <c r="G2091" s="15">
        <v>0</v>
      </c>
    </row>
    <row r="2092" spans="1:7" x14ac:dyDescent="0.15">
      <c r="A2092" s="86">
        <v>43495</v>
      </c>
      <c r="B2092" s="18">
        <v>129500</v>
      </c>
      <c r="C2092" s="14">
        <v>128500</v>
      </c>
      <c r="D2092" s="14">
        <v>129500</v>
      </c>
      <c r="E2092" s="14">
        <v>126500</v>
      </c>
      <c r="F2092" t="s">
        <v>1502</v>
      </c>
      <c r="G2092" s="15">
        <v>1.17E-2</v>
      </c>
    </row>
    <row r="2093" spans="1:7" x14ac:dyDescent="0.15">
      <c r="A2093" s="86">
        <v>43494</v>
      </c>
      <c r="B2093" s="18">
        <v>128000</v>
      </c>
      <c r="C2093" s="14">
        <v>126500</v>
      </c>
      <c r="D2093" s="14">
        <v>128500</v>
      </c>
      <c r="E2093" s="14">
        <v>126000</v>
      </c>
      <c r="F2093" t="s">
        <v>1503</v>
      </c>
      <c r="G2093" s="15">
        <v>1.1900000000000001E-2</v>
      </c>
    </row>
    <row r="2094" spans="1:7" x14ac:dyDescent="0.15">
      <c r="A2094" s="86">
        <v>43493</v>
      </c>
      <c r="B2094" s="18">
        <v>126500</v>
      </c>
      <c r="C2094" s="14">
        <v>128500</v>
      </c>
      <c r="D2094" s="14">
        <v>130000</v>
      </c>
      <c r="E2094" s="14">
        <v>125500</v>
      </c>
      <c r="F2094" t="s">
        <v>1504</v>
      </c>
      <c r="G2094" s="15">
        <v>-1.5599999999999999E-2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68CEE-89E0-A946-B01D-1D8FBA0A0245}">
  <dimension ref="B1:P13"/>
  <sheetViews>
    <sheetView topLeftCell="B1" zoomScale="144" workbookViewId="0">
      <selection activeCell="P3" sqref="P3"/>
    </sheetView>
  </sheetViews>
  <sheetFormatPr baseColWidth="10" defaultRowHeight="13" x14ac:dyDescent="0.15"/>
  <cols>
    <col min="2" max="2" width="55.33203125" bestFit="1" customWidth="1"/>
    <col min="6" max="15" width="6.1640625" bestFit="1" customWidth="1"/>
  </cols>
  <sheetData>
    <row r="1" spans="2:16" ht="14" thickBot="1" x14ac:dyDescent="0.2"/>
    <row r="2" spans="2:16" ht="14" thickTop="1" x14ac:dyDescent="0.15">
      <c r="B2" s="64" t="s">
        <v>1565</v>
      </c>
      <c r="C2" s="63"/>
      <c r="D2" s="63">
        <v>2021</v>
      </c>
      <c r="E2" s="63">
        <v>2022</v>
      </c>
      <c r="F2" s="63">
        <v>2023</v>
      </c>
      <c r="G2" s="63">
        <v>2024</v>
      </c>
      <c r="H2" s="63">
        <v>2025</v>
      </c>
      <c r="I2" s="63">
        <v>2026</v>
      </c>
      <c r="J2" s="63">
        <v>2027</v>
      </c>
      <c r="K2" s="63">
        <v>2028</v>
      </c>
      <c r="L2" s="63">
        <v>2029</v>
      </c>
      <c r="M2" s="63">
        <v>2030</v>
      </c>
      <c r="N2" s="68"/>
      <c r="O2" s="68"/>
      <c r="P2" s="17" t="s">
        <v>1584</v>
      </c>
    </row>
    <row r="3" spans="2:16" x14ac:dyDescent="0.15">
      <c r="B3" s="21"/>
      <c r="C3" s="20"/>
      <c r="D3" s="20"/>
      <c r="E3" s="20"/>
      <c r="F3" s="56"/>
      <c r="G3" s="56"/>
      <c r="H3" s="56"/>
      <c r="I3" s="56"/>
      <c r="J3" s="74"/>
      <c r="K3" s="69"/>
      <c r="L3" s="69"/>
      <c r="M3" s="69"/>
      <c r="N3" s="68"/>
      <c r="O3" s="68"/>
    </row>
    <row r="4" spans="2:16" x14ac:dyDescent="0.15">
      <c r="B4" s="21" t="s">
        <v>1538</v>
      </c>
      <c r="C4" s="20"/>
      <c r="D4" s="75">
        <f>'DCF Modelling'!E14</f>
        <v>0.11219485043191346</v>
      </c>
      <c r="E4" s="75">
        <f>'DCF Modelling'!F14</f>
        <v>0.16202709265944093</v>
      </c>
      <c r="F4" s="75">
        <f>'DCF Modelling'!G14</f>
        <v>0.15511081944021887</v>
      </c>
      <c r="G4" s="75">
        <f>'DCF Modelling'!H14</f>
        <v>0.1356484002717448</v>
      </c>
      <c r="H4" s="75">
        <f>'DCF Modelling'!I14</f>
        <v>0.1211001782644133</v>
      </c>
      <c r="I4" s="75">
        <f ca="1">'DCF Modelling'!J14</f>
        <v>0.11335005817870271</v>
      </c>
      <c r="J4" s="75">
        <f ca="1">'DCF Modelling'!K14</f>
        <v>9.819184668475299E-2</v>
      </c>
      <c r="K4" s="75">
        <f ca="1">'DCF Modelling'!L14</f>
        <v>0.10503450189600209</v>
      </c>
      <c r="L4" s="75">
        <f ca="1">'DCF Modelling'!M14</f>
        <v>0.10405626659636102</v>
      </c>
      <c r="M4" s="75">
        <f ca="1">'DCF Modelling'!N14</f>
        <v>0.11552931901553795</v>
      </c>
      <c r="N4" s="76"/>
      <c r="O4" s="76"/>
    </row>
    <row r="5" spans="2:16" x14ac:dyDescent="0.15">
      <c r="B5" s="20"/>
      <c r="C5" s="20"/>
      <c r="D5" s="20"/>
      <c r="E5" s="20"/>
      <c r="F5" s="20"/>
      <c r="G5" s="20"/>
      <c r="H5" s="20"/>
      <c r="I5" s="20"/>
      <c r="J5" s="68"/>
      <c r="K5" s="69"/>
      <c r="L5" s="69"/>
      <c r="M5" s="69"/>
      <c r="N5" s="68"/>
      <c r="O5" s="68"/>
    </row>
    <row r="6" spans="2:16" x14ac:dyDescent="0.15">
      <c r="B6" s="20" t="s">
        <v>1539</v>
      </c>
      <c r="C6" s="20"/>
      <c r="D6" s="75">
        <f>'DCF Modelling'!E16</f>
        <v>0</v>
      </c>
      <c r="E6" s="75">
        <f>'DCF Modelling'!F16</f>
        <v>4.9832242227527468E-2</v>
      </c>
      <c r="F6" s="75">
        <f>'DCF Modelling'!G16</f>
        <v>4.1846998069568944E-2</v>
      </c>
      <c r="G6" s="75">
        <f>'DCF Modelling'!H16</f>
        <v>4.9494804931871812E-2</v>
      </c>
      <c r="H6" s="75">
        <f>'DCF Modelling'!I16</f>
        <v>5.2975386987672395E-2</v>
      </c>
      <c r="I6" s="75">
        <f ca="1">'DCF Modelling'!J16</f>
        <v>5.1371018049668635E-2</v>
      </c>
      <c r="J6" s="75">
        <f ca="1">'DCF Modelling'!K16</f>
        <v>6.0337487461254474E-2</v>
      </c>
      <c r="K6" s="75">
        <f ca="1">'DCF Modelling'!L16</f>
        <v>5.9273006979359104E-2</v>
      </c>
      <c r="L6" s="75">
        <f ca="1">'DCF Modelling'!M16</f>
        <v>5.5951581092451533E-2</v>
      </c>
      <c r="M6" s="75">
        <f ca="1">'DCF Modelling'!N16</f>
        <v>6.3262942315302551E-2</v>
      </c>
      <c r="N6" s="74"/>
      <c r="O6" s="74"/>
    </row>
    <row r="7" spans="2:16" ht="14" thickBot="1" x14ac:dyDescent="0.2">
      <c r="B7" s="20"/>
      <c r="C7" s="20"/>
      <c r="D7" s="20"/>
      <c r="E7" s="20"/>
      <c r="F7" s="20"/>
      <c r="G7" s="20"/>
      <c r="H7" s="20"/>
      <c r="I7" s="20"/>
      <c r="J7" s="20"/>
      <c r="K7" s="69"/>
      <c r="L7" s="69"/>
      <c r="M7" s="69"/>
      <c r="N7" s="68"/>
      <c r="O7" s="68"/>
    </row>
    <row r="8" spans="2:16" ht="14" thickTop="1" x14ac:dyDescent="0.15">
      <c r="B8" s="64" t="s">
        <v>1566</v>
      </c>
      <c r="C8" s="63"/>
      <c r="D8" s="63"/>
      <c r="E8" s="63"/>
      <c r="F8" s="63"/>
      <c r="G8" s="63"/>
      <c r="H8" s="63"/>
      <c r="I8" s="63"/>
      <c r="J8" s="63"/>
      <c r="K8" s="73"/>
      <c r="L8" s="73"/>
      <c r="M8" s="73"/>
      <c r="N8" s="68"/>
      <c r="O8" s="68"/>
    </row>
    <row r="9" spans="2:16" x14ac:dyDescent="0.15">
      <c r="B9" s="21"/>
      <c r="C9" s="20"/>
      <c r="D9" s="20"/>
      <c r="E9" s="20"/>
      <c r="F9" s="56"/>
      <c r="G9" s="56"/>
      <c r="H9" s="56"/>
      <c r="I9" s="56"/>
      <c r="J9" s="56"/>
      <c r="K9" s="69"/>
      <c r="L9" s="69"/>
      <c r="M9" s="69"/>
      <c r="N9" s="68"/>
      <c r="O9" s="68"/>
    </row>
    <row r="10" spans="2:16" x14ac:dyDescent="0.15">
      <c r="B10" s="21" t="s">
        <v>1557</v>
      </c>
      <c r="C10" s="20"/>
      <c r="D10" s="75">
        <f>'DCF Modelling'!E21</f>
        <v>8.6145994100287338E-2</v>
      </c>
      <c r="E10" s="75">
        <f>'DCF Modelling'!F21</f>
        <v>0.13990267216837693</v>
      </c>
      <c r="F10" s="75">
        <f>'DCF Modelling'!G21</f>
        <v>0.1369592158920161</v>
      </c>
      <c r="G10" s="75">
        <f>'DCF Modelling'!H21</f>
        <v>0.12265831143968792</v>
      </c>
      <c r="H10" s="75">
        <f>'DCF Modelling'!I21</f>
        <v>0.11612996837702125</v>
      </c>
      <c r="I10" s="75">
        <f ca="1">'DCF Modelling'!J21</f>
        <v>0.11403824309785104</v>
      </c>
      <c r="J10" s="75">
        <f ca="1">'DCF Modelling'!K21</f>
        <v>0.11707415819063917</v>
      </c>
      <c r="K10" s="75">
        <f ca="1">'DCF Modelling'!L21</f>
        <v>0.11790991849086478</v>
      </c>
      <c r="L10" s="75">
        <f ca="1">'DCF Modelling'!M21</f>
        <v>0.11693309623042215</v>
      </c>
      <c r="M10" s="75">
        <f ca="1">'DCF Modelling'!N21</f>
        <v>0.11777781149715245</v>
      </c>
      <c r="N10" s="74"/>
      <c r="O10" s="74"/>
    </row>
    <row r="11" spans="2:16" x14ac:dyDescent="0.15">
      <c r="B11" s="20"/>
      <c r="C11" s="20"/>
      <c r="D11" s="20"/>
      <c r="E11" s="20"/>
      <c r="F11" s="20"/>
      <c r="G11" s="20"/>
      <c r="H11" s="20"/>
      <c r="I11" s="20"/>
      <c r="J11" s="20"/>
      <c r="K11" s="69"/>
      <c r="L11" s="69"/>
      <c r="M11" s="69"/>
      <c r="N11" s="68"/>
      <c r="O11" s="68"/>
    </row>
    <row r="12" spans="2:16" x14ac:dyDescent="0.15">
      <c r="B12" s="20" t="s">
        <v>1558</v>
      </c>
      <c r="C12" s="20"/>
      <c r="D12" s="20"/>
      <c r="E12" s="75">
        <f>'DCF Modelling'!F23</f>
        <v>2.6878339034044775E-2</v>
      </c>
      <c r="F12" s="75">
        <f>'DCF Modelling'!G23</f>
        <v>2.4676637355609817E-2</v>
      </c>
      <c r="G12" s="75">
        <f>'DCF Modelling'!H23</f>
        <v>2.1382617127019575E-2</v>
      </c>
      <c r="H12" s="75">
        <f>'DCF Modelling'!I23</f>
        <v>1.9241744221744121E-2</v>
      </c>
      <c r="I12" s="75">
        <f ca="1">'DCF Modelling'!J23</f>
        <v>1.7722487401724579E-2</v>
      </c>
      <c r="J12" s="75">
        <f ca="1">'DCF Modelling'!K23</f>
        <v>1.6426406749273609E-2</v>
      </c>
      <c r="K12" s="75">
        <f ca="1">'DCF Modelling'!L23</f>
        <v>1.5369624445464988E-2</v>
      </c>
      <c r="L12" s="75">
        <f ca="1">'DCF Modelling'!M23</f>
        <v>1.4503168092176152E-2</v>
      </c>
      <c r="M12" s="75">
        <f ca="1">'DCF Modelling'!N23</f>
        <v>1.3761339117316572E-2</v>
      </c>
      <c r="N12" s="74"/>
      <c r="O12" s="74"/>
    </row>
    <row r="13" spans="2:16" x14ac:dyDescent="0.15">
      <c r="B13" s="20"/>
      <c r="C13" s="20"/>
      <c r="D13" s="20"/>
      <c r="E13" s="20"/>
      <c r="F13" s="20"/>
      <c r="G13" s="20"/>
      <c r="H13" s="20"/>
      <c r="I13" s="20"/>
      <c r="J13" s="20"/>
      <c r="K13" s="69"/>
      <c r="L13" s="69"/>
      <c r="M13" s="69"/>
      <c r="N13" s="68"/>
      <c r="O13" s="6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DCF Modelling</vt:lpstr>
      <vt:lpstr>WACC</vt:lpstr>
      <vt:lpstr>Share Prices</vt:lpstr>
      <vt:lpstr>Monte Carlo Simulation</vt:lpstr>
    </vt:vector>
  </TitlesOfParts>
  <Company>Euroland.com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Data</dc:subject>
  <dc:creator>Euroland.com</dc:creator>
  <cp:lastModifiedBy>Jake Lee</cp:lastModifiedBy>
  <dcterms:created xsi:type="dcterms:W3CDTF">2026-09-08T13:55:43Z</dcterms:created>
  <dcterms:modified xsi:type="dcterms:W3CDTF">2026-09-26T07:33:47Z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